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89"/>
  </bookViews>
  <sheets>
    <sheet name="Speedy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<sst xmlns="http://schemas.openxmlformats.org/spreadsheetml/2006/main" count="1882" uniqueCount="1066">
  <si>
    <t>お客様管理番号</t>
  </si>
  <si>
    <t>佐川問合せ番号HAWB</t>
  </si>
  <si>
    <t>配達指定日</t>
  </si>
  <si>
    <t>時間帯指定</t>
  </si>
  <si>
    <t>貨物個数</t>
  </si>
  <si>
    <t>お届け先人名</t>
  </si>
  <si>
    <t>お届け先住所</t>
  </si>
  <si>
    <t>お届け先電話</t>
  </si>
  <si>
    <t>お届け先郵便</t>
  </si>
  <si>
    <t>依頼主</t>
  </si>
  <si>
    <t>依頼主住所</t>
  </si>
  <si>
    <t>依頼主郵便番号</t>
  </si>
  <si>
    <t>依頼主電話</t>
  </si>
  <si>
    <t>佐川顧客コード（固定）</t>
  </si>
  <si>
    <t>記事欄2（品名）</t>
  </si>
  <si>
    <t>記事欄2</t>
  </si>
  <si>
    <t>記事欄3</t>
  </si>
  <si>
    <t>收件人省州（删）</t>
  </si>
  <si>
    <t>收件人城市（删）</t>
  </si>
  <si>
    <t>收件人地址1（删）</t>
  </si>
  <si>
    <t>收件人地址2（删）</t>
  </si>
  <si>
    <t>收件人地址3（删）</t>
  </si>
  <si>
    <t>发货省（删）</t>
  </si>
  <si>
    <t>发货市（删）</t>
  </si>
  <si>
    <t>发货地址（删）</t>
  </si>
  <si>
    <t>365611606183</t>
  </si>
  <si>
    <t>香川宛</t>
  </si>
  <si>
    <t>090-8464-3607</t>
  </si>
  <si>
    <t>107-0062</t>
  </si>
  <si>
    <t xml:space="preserve"> </t>
  </si>
  <si>
    <t>148202040055</t>
  </si>
  <si>
    <t>revolving desk</t>
  </si>
  <si>
    <t>東京都</t>
  </si>
  <si>
    <t>港区</t>
  </si>
  <si>
    <t>OMOTESANDO MUSEUM  Tokyo, Minato</t>
  </si>
  <si>
    <t>City, Minamiaoyama, 3 Chome−18−19　 FESTA OMOTESADO 2F</t>
  </si>
  <si>
    <t>東京都港区南青山OMOTESANDOMUSEUMTOKYO,MINATOCITY,,3CHOME−18−19　FESTAOMOTESADO2F</t>
  </si>
  <si>
    <t>365611606172</t>
  </si>
  <si>
    <t>Folding Stands</t>
  </si>
  <si>
    <t>City,Minamiaoyama, 3Chome−18−19 FESTA OMOTESADO 2F</t>
  </si>
  <si>
    <t>東京都港区南青山OMOTESANDOMUSEUMTOKYO,MINATOCITY,,3CHOME−18−19FESTAOMOTESADO2F</t>
  </si>
  <si>
    <t>365611558981</t>
  </si>
  <si>
    <t>有田 康子</t>
  </si>
  <si>
    <t>090-7343-2686</t>
  </si>
  <si>
    <t>593-8327</t>
  </si>
  <si>
    <t>楽天-和心-H</t>
  </si>
  <si>
    <t xml:space="preserve"> 05030919965</t>
  </si>
  <si>
    <t>Pet Mat</t>
  </si>
  <si>
    <t>大阪府</t>
  </si>
  <si>
    <t>堺市西区</t>
  </si>
  <si>
    <t>鳳中町4-127-1</t>
  </si>
  <si>
    <t>大阪府堺市西区鳳中町4-127-1</t>
  </si>
  <si>
    <t xml:space="preserve"> 東京都稲城市平尾１－１４－１７</t>
  </si>
  <si>
    <t>365611533766</t>
  </si>
  <si>
    <t>藤本 真紀乃</t>
  </si>
  <si>
    <t>090-1181-7076</t>
  </si>
  <si>
    <t>730-0803</t>
  </si>
  <si>
    <t>楽天-Rumay-D</t>
  </si>
  <si>
    <t xml:space="preserve"> 072-703-4761</t>
  </si>
  <si>
    <t>Storage box</t>
  </si>
  <si>
    <t>広島県</t>
  </si>
  <si>
    <t>広島市中区</t>
  </si>
  <si>
    <t>広瀬北町3-32-202</t>
  </si>
  <si>
    <t>広島県広島市中区広瀬北町3-32-202</t>
  </si>
  <si>
    <t xml:space="preserve"> 中央区内本町2‐3‐8　ダイアパレスビル本町 1006ミズイシテクノロジー</t>
  </si>
  <si>
    <t>365611533604</t>
  </si>
  <si>
    <t>菊地 あゆみ</t>
  </si>
  <si>
    <t>090-6924-5658</t>
  </si>
  <si>
    <t>314-0115</t>
  </si>
  <si>
    <t>ラッキーストライク</t>
  </si>
  <si>
    <t xml:space="preserve"> 05030911547</t>
  </si>
  <si>
    <t>Usb charger detector</t>
  </si>
  <si>
    <t>茨城県</t>
  </si>
  <si>
    <t>神栖市</t>
  </si>
  <si>
    <t>知手5168-4 城之内アパート16号</t>
  </si>
  <si>
    <t>茨城県神栖市知手5168-4城之内アパート16号</t>
  </si>
  <si>
    <t xml:space="preserve"> 東京都西多摩郡奥多摩町留浦１０１８</t>
  </si>
  <si>
    <t>365611533534</t>
  </si>
  <si>
    <t>守屋 満一</t>
  </si>
  <si>
    <t>045-301-0156</t>
  </si>
  <si>
    <t>246-0014</t>
  </si>
  <si>
    <t>Cleaning supplies</t>
  </si>
  <si>
    <t>神奈川県</t>
  </si>
  <si>
    <t>横浜市瀬谷区</t>
  </si>
  <si>
    <t>中央1-7プランドール横濱601号室</t>
  </si>
  <si>
    <t>神奈川県横浜市瀬谷区中央1-7プランドール横濱601号室</t>
  </si>
  <si>
    <t>365611533501</t>
  </si>
  <si>
    <t>長谷川 ミイ子</t>
  </si>
  <si>
    <t>090-2227-5773</t>
  </si>
  <si>
    <t>321-0602</t>
  </si>
  <si>
    <t>lamp</t>
  </si>
  <si>
    <t>栃木県</t>
  </si>
  <si>
    <t>那須烏山市</t>
  </si>
  <si>
    <t>大桶581</t>
  </si>
  <si>
    <t>栃木県那須烏山市大桶581</t>
  </si>
  <si>
    <t>365611533486</t>
  </si>
  <si>
    <t>小川 恭子</t>
  </si>
  <si>
    <t>090-4054-3909</t>
  </si>
  <si>
    <t>224-0028</t>
  </si>
  <si>
    <t>UT.village</t>
  </si>
  <si>
    <t xml:space="preserve"> 05030979484</t>
  </si>
  <si>
    <t>Piggy bank</t>
  </si>
  <si>
    <t>横浜市都筑区</t>
  </si>
  <si>
    <t>大棚西3-1-202</t>
  </si>
  <si>
    <t>神奈川県横浜市都筑区大棚西3-1-202</t>
  </si>
  <si>
    <t xml:space="preserve"> 神奈川県川崎市高津区下作延２－２２－５クレイノアクアパレス２０５</t>
  </si>
  <si>
    <t>365611533475</t>
  </si>
  <si>
    <t>志村 徹</t>
  </si>
  <si>
    <t>046-843-8481</t>
  </si>
  <si>
    <t>239-0822</t>
  </si>
  <si>
    <t>横須賀市</t>
  </si>
  <si>
    <t>浦賀2-2-9</t>
  </si>
  <si>
    <t>神奈川県横須賀市浦賀2-2-9</t>
  </si>
  <si>
    <t>365611533464</t>
  </si>
  <si>
    <t>金子 剛</t>
  </si>
  <si>
    <t>042-483-1735</t>
  </si>
  <si>
    <t>182-0022</t>
  </si>
  <si>
    <t>JETMILLIO楽天市場店</t>
  </si>
  <si>
    <t xml:space="preserve"> 050-3181-9787</t>
  </si>
  <si>
    <t>Bowling toys</t>
  </si>
  <si>
    <t>調布市</t>
  </si>
  <si>
    <t>国領町6-28-8 調布若竹幼稚園</t>
  </si>
  <si>
    <t>東京都調布市国領町6-28-8調布若竹幼稚園</t>
  </si>
  <si>
    <t xml:space="preserve"> 東京都大田区上池台３－２４－１４スターハイツ洗足池２　２０２</t>
  </si>
  <si>
    <t>365611534396</t>
  </si>
  <si>
    <t>岡安 秀子</t>
  </si>
  <si>
    <t>090-6521-6965</t>
  </si>
  <si>
    <t>225-0011</t>
  </si>
  <si>
    <t>楽天-eightyone-H</t>
  </si>
  <si>
    <t xml:space="preserve"> 036-161-6083</t>
  </si>
  <si>
    <t>The umbrella</t>
  </si>
  <si>
    <t>横浜市青葉区</t>
  </si>
  <si>
    <t>あざみ野1-21-4-207</t>
  </si>
  <si>
    <t>神奈川県横浜市青葉区あざみ野1-21-4-207</t>
  </si>
  <si>
    <t xml:space="preserve"> 東京都品川区平塚1-13-1</t>
  </si>
  <si>
    <t>365611534352</t>
  </si>
  <si>
    <t>中村 千夏</t>
  </si>
  <si>
    <t>03-6432-1370</t>
  </si>
  <si>
    <t>105-0021</t>
  </si>
  <si>
    <t>楽天-OBSESSION-L</t>
  </si>
  <si>
    <t xml:space="preserve"> 05036359867</t>
  </si>
  <si>
    <t>Fan</t>
  </si>
  <si>
    <t>東新橋2-10-10東新橋ビル2階 株式会社ハイブ</t>
  </si>
  <si>
    <t>東京都港区東新橋2-10-10東新橋ビル2階株式会社ハイブ</t>
  </si>
  <si>
    <t xml:space="preserve"> 西成区北津守４－１３－４３</t>
  </si>
  <si>
    <t>365611534330</t>
  </si>
  <si>
    <t>水上 雅子</t>
  </si>
  <si>
    <t>090-7389-6518</t>
  </si>
  <si>
    <t>802-0014</t>
  </si>
  <si>
    <t>福岡県</t>
  </si>
  <si>
    <t>北九州市小倉北区</t>
  </si>
  <si>
    <t>砂津2丁目14-7</t>
  </si>
  <si>
    <t>福岡県北九州市小倉北区砂津2丁目14-7</t>
  </si>
  <si>
    <t>365611534315</t>
  </si>
  <si>
    <t>高木 祐他</t>
  </si>
  <si>
    <t>090-6278-6202</t>
  </si>
  <si>
    <t>918-8218</t>
  </si>
  <si>
    <t>楽天-KAMCITY-L</t>
  </si>
  <si>
    <t xml:space="preserve"> 070-1432-7896</t>
  </si>
  <si>
    <t>Detector</t>
  </si>
  <si>
    <t>福井県</t>
  </si>
  <si>
    <t>福井市</t>
  </si>
  <si>
    <t>河増町31-27-25</t>
  </si>
  <si>
    <t>福井県福井市河増町31-27-25</t>
  </si>
  <si>
    <t xml:space="preserve"> 内本町2‐3‐8</t>
  </si>
  <si>
    <t>365611534256</t>
  </si>
  <si>
    <t>岡本 勇人</t>
  </si>
  <si>
    <t>090-3868-0315</t>
  </si>
  <si>
    <t>582-0019</t>
  </si>
  <si>
    <t>楽天-さのののストア</t>
  </si>
  <si>
    <t xml:space="preserve"> 050-8882-6402</t>
  </si>
  <si>
    <t>bag,toy</t>
  </si>
  <si>
    <t>柏原市</t>
  </si>
  <si>
    <t>平野一丁目11-10-503  配送予定日：2025-07-04(金)</t>
  </si>
  <si>
    <t>大阪府柏原市平野一丁目11-10-503配送予定日：2025-07-04(金)</t>
  </si>
  <si>
    <t xml:space="preserve"> 和歌山県和歌山市西釘貫丁２－５３プレミール石川５０２</t>
  </si>
  <si>
    <t>365611534142</t>
  </si>
  <si>
    <t>田辺 由佳</t>
  </si>
  <si>
    <t>090-1107-2734</t>
  </si>
  <si>
    <t>294-0316</t>
  </si>
  <si>
    <t>楽天-SUTAIRU-D</t>
  </si>
  <si>
    <t>Mobile phone shell</t>
  </si>
  <si>
    <t>千葉県</t>
  </si>
  <si>
    <t>館山市</t>
  </si>
  <si>
    <t>洲崎 1241-1</t>
  </si>
  <si>
    <t>千葉県館山市洲崎1241-1</t>
  </si>
  <si>
    <t>365611534013</t>
  </si>
  <si>
    <t>キッチン アバウト4</t>
  </si>
  <si>
    <t>090-2611-6882</t>
  </si>
  <si>
    <t>514-0001</t>
  </si>
  <si>
    <t>cup</t>
  </si>
  <si>
    <t>三重県</t>
  </si>
  <si>
    <t>津市</t>
  </si>
  <si>
    <t>江戸橋1-82-1</t>
  </si>
  <si>
    <t>三重県津市江戸橋1-82-1</t>
  </si>
  <si>
    <t>365611533895</t>
  </si>
  <si>
    <t>古牧 裕之</t>
  </si>
  <si>
    <t>054-375-2506</t>
  </si>
  <si>
    <t>421-3105</t>
  </si>
  <si>
    <t>エイト株式会社</t>
  </si>
  <si>
    <t xml:space="preserve"> 0671678750</t>
  </si>
  <si>
    <t>plastic toy</t>
  </si>
  <si>
    <t>静岡県</t>
  </si>
  <si>
    <t>静岡市清水区</t>
  </si>
  <si>
    <t>由比町屋原334-40</t>
  </si>
  <si>
    <t/>
  </si>
  <si>
    <t>静岡県静岡市清水区由比町屋原334-40</t>
  </si>
  <si>
    <t>兵庫県</t>
  </si>
  <si>
    <t>尼崎市</t>
  </si>
  <si>
    <t xml:space="preserve"> 南塚口町４－２－２０－３０３号</t>
  </si>
  <si>
    <t>365611533792</t>
  </si>
  <si>
    <t>鈴木 星空</t>
  </si>
  <si>
    <t>080-9013-9581</t>
  </si>
  <si>
    <t>987-2203</t>
  </si>
  <si>
    <t>ジョシュミル</t>
  </si>
  <si>
    <t xml:space="preserve"> 050-3092-1704</t>
  </si>
  <si>
    <t>fan</t>
  </si>
  <si>
    <t>宮城県</t>
  </si>
  <si>
    <t>栗原市</t>
  </si>
  <si>
    <t>築館下宮野宮当52-3</t>
  </si>
  <si>
    <t>宮城県栗原市築館下宮野宮当52-3</t>
  </si>
  <si>
    <t xml:space="preserve"> 山形県山形市上町２－９－５</t>
  </si>
  <si>
    <t>365611533781</t>
  </si>
  <si>
    <t>酒村 幸男</t>
  </si>
  <si>
    <t>0463-75-2281</t>
  </si>
  <si>
    <t>259-1302</t>
  </si>
  <si>
    <t>LED flame light</t>
  </si>
  <si>
    <t>秦野市</t>
  </si>
  <si>
    <t>菩提170-5</t>
  </si>
  <si>
    <t>神奈川県秦野市菩提170-5</t>
  </si>
  <si>
    <t>365611531946</t>
  </si>
  <si>
    <t>株式会社オーシャンズ 赤木淳</t>
  </si>
  <si>
    <t>0266-75-2890</t>
  </si>
  <si>
    <t>391-0013</t>
  </si>
  <si>
    <t>makeup mirror</t>
  </si>
  <si>
    <t>長野県</t>
  </si>
  <si>
    <t>茅野市</t>
  </si>
  <si>
    <t>宮川1381-2</t>
  </si>
  <si>
    <t>長野県茅野市宮川1381-2</t>
  </si>
  <si>
    <t>365611533221</t>
  </si>
  <si>
    <t>佐野 好子</t>
  </si>
  <si>
    <t>090-4563-0813</t>
  </si>
  <si>
    <t>675-0034</t>
  </si>
  <si>
    <t>Flat cover</t>
  </si>
  <si>
    <t>加古川市</t>
  </si>
  <si>
    <t>加古川町稲屋138ー1</t>
  </si>
  <si>
    <t>兵庫県加古川市加古川町稲屋138ー1</t>
  </si>
  <si>
    <t>365611533210</t>
  </si>
  <si>
    <t>山内 隆志</t>
  </si>
  <si>
    <t>090-1054-4439</t>
  </si>
  <si>
    <t>123-0864</t>
  </si>
  <si>
    <t>Bluetooth earphone</t>
  </si>
  <si>
    <t>足立区</t>
  </si>
  <si>
    <t>鹿浜6-21-17プレミール鹿浜302</t>
  </si>
  <si>
    <t>東京都足立区鹿浜6-21-17プレミール鹿浜302</t>
  </si>
  <si>
    <t>365611532042</t>
  </si>
  <si>
    <t>石角 知美</t>
  </si>
  <si>
    <t>090-5263-1477</t>
  </si>
  <si>
    <t>573-1156</t>
  </si>
  <si>
    <t>枚方市</t>
  </si>
  <si>
    <t>片鉾東町3-3-2</t>
  </si>
  <si>
    <t>大阪府枚方市片鉾東町3-3-2</t>
  </si>
  <si>
    <t>365611533232</t>
  </si>
  <si>
    <t>好田 純二</t>
  </si>
  <si>
    <t>076-475-4160</t>
  </si>
  <si>
    <t>936-0027</t>
  </si>
  <si>
    <t>富山県</t>
  </si>
  <si>
    <t>滑川市</t>
  </si>
  <si>
    <t>常盤町380-1</t>
  </si>
  <si>
    <t>富山県滑川市常盤町380-1</t>
  </si>
  <si>
    <t>365611532090</t>
  </si>
  <si>
    <t>松本 友紀子</t>
  </si>
  <si>
    <t>090-6777-0845</t>
  </si>
  <si>
    <t>753-0052</t>
  </si>
  <si>
    <t>5 star trust</t>
  </si>
  <si>
    <t xml:space="preserve"> 0672209304</t>
  </si>
  <si>
    <t>Jewelry display stand</t>
  </si>
  <si>
    <t>山口県</t>
  </si>
  <si>
    <t>山口市</t>
  </si>
  <si>
    <t>三和町16-24(不在の際は洗濯機横宅配ボックスにお願い)</t>
  </si>
  <si>
    <t>山口県山口市三和町16-24(不在の際は洗濯機横宅配ボックスにお願い)</t>
  </si>
  <si>
    <t xml:space="preserve"> 大阪府富田林市平町１－４１０３－１</t>
  </si>
  <si>
    <t>365611532860</t>
  </si>
  <si>
    <t>金岡 彌</t>
  </si>
  <si>
    <t>0743-53-9654</t>
  </si>
  <si>
    <t>639-1132</t>
  </si>
  <si>
    <t>smart watch</t>
  </si>
  <si>
    <t>奈良県</t>
  </si>
  <si>
    <t>大和郡山市</t>
  </si>
  <si>
    <t>高田町 59-11</t>
  </si>
  <si>
    <t>奈良県大和郡山市高田町59-11</t>
  </si>
  <si>
    <t>365611532252</t>
  </si>
  <si>
    <t>株式会社 ハウスリンク</t>
  </si>
  <si>
    <t>090-4542-1861</t>
  </si>
  <si>
    <t>212-0012</t>
  </si>
  <si>
    <t>スマイルファミリー</t>
  </si>
  <si>
    <t xml:space="preserve"> 04-6364-2754</t>
  </si>
  <si>
    <t>thermometer</t>
  </si>
  <si>
    <t>川崎市幸区</t>
  </si>
  <si>
    <t>中幸町4-50-3 エムエヌビル4階</t>
  </si>
  <si>
    <t>神奈川県川崎市幸区中幸町4-50-3エムエヌビル4階</t>
  </si>
  <si>
    <t xml:space="preserve"> 神奈川県秦野市戸川４７０－７</t>
  </si>
  <si>
    <t>365611532532</t>
  </si>
  <si>
    <t>森田 瑠美子</t>
  </si>
  <si>
    <t>080-4849-0142</t>
  </si>
  <si>
    <t>437-1612</t>
  </si>
  <si>
    <t>Sauce dish</t>
  </si>
  <si>
    <t>御前崎市</t>
  </si>
  <si>
    <t>池新田4329-1</t>
  </si>
  <si>
    <t>静岡県御前崎市池新田4329-1</t>
  </si>
  <si>
    <t>365611532031</t>
  </si>
  <si>
    <t>山口 充香</t>
  </si>
  <si>
    <t>090-5892-9339</t>
  </si>
  <si>
    <t>587-0012</t>
  </si>
  <si>
    <t>hat</t>
  </si>
  <si>
    <t>堺市美原区</t>
  </si>
  <si>
    <t>多治井538-1</t>
  </si>
  <si>
    <t>大阪府堺市美原区多治井538-1</t>
  </si>
  <si>
    <t>365611531891</t>
  </si>
  <si>
    <t>浅野 準</t>
  </si>
  <si>
    <t>090-2136-1556</t>
  </si>
  <si>
    <t>498-0823</t>
  </si>
  <si>
    <t>Cup</t>
  </si>
  <si>
    <t>桑名郡木曽岬町</t>
  </si>
  <si>
    <t>和富10-2</t>
  </si>
  <si>
    <t>三重県桑名郡木曽岬町和富10-2</t>
  </si>
  <si>
    <t>365611532856</t>
  </si>
  <si>
    <t>若杉 愛奈</t>
  </si>
  <si>
    <t>080-8131-5893</t>
  </si>
  <si>
    <t>001-0025</t>
  </si>
  <si>
    <t>Wrist watch.</t>
  </si>
  <si>
    <t>北海道</t>
  </si>
  <si>
    <t>札幌市北区</t>
  </si>
  <si>
    <t>北二十五条西7丁目1番3号北KG101号室</t>
  </si>
  <si>
    <t>北海道札幌市北区北二十五条西7丁目1番3号北KG101号室</t>
  </si>
  <si>
    <t>365611531810</t>
  </si>
  <si>
    <t>伊藤 充紀</t>
  </si>
  <si>
    <t>090-9920-2217</t>
  </si>
  <si>
    <t>483-8262</t>
  </si>
  <si>
    <t>楽天-サンワトラベル</t>
  </si>
  <si>
    <t xml:space="preserve"> 03-4218-2120</t>
  </si>
  <si>
    <t>Night Light</t>
  </si>
  <si>
    <t>愛知県</t>
  </si>
  <si>
    <t>江南市</t>
  </si>
  <si>
    <t>島宮町吉原116</t>
  </si>
  <si>
    <t>愛知県江南市島宮町吉原116</t>
  </si>
  <si>
    <t xml:space="preserve"> 東京都豊島区池袋2-33-17</t>
  </si>
  <si>
    <t>365611533626</t>
  </si>
  <si>
    <t>鈴木 海斗</t>
  </si>
  <si>
    <t>090-5978-9479</t>
  </si>
  <si>
    <t>534-0015</t>
  </si>
  <si>
    <t>楽天-クリアアフュー</t>
  </si>
  <si>
    <t xml:space="preserve"> 066-4508-345</t>
  </si>
  <si>
    <t>towel,Mats for massage</t>
  </si>
  <si>
    <t>大阪市都島区</t>
  </si>
  <si>
    <t>善源寺町2-5-20-804  配送予定日：2025-07-03(木)</t>
  </si>
  <si>
    <t>大阪府大阪市都島区善源寺町2-5-20-804配送予定日：2025-07-03(木)</t>
  </si>
  <si>
    <t xml:space="preserve"> 大阪府大阪市浪速区日本橋５－１３－９－２０２</t>
  </si>
  <si>
    <t>365611532436</t>
  </si>
  <si>
    <t>榎木 将真</t>
  </si>
  <si>
    <t>080-5473-6781</t>
  </si>
  <si>
    <t>226-0028</t>
  </si>
  <si>
    <t>Storage Box</t>
  </si>
  <si>
    <t>横浜市緑区</t>
  </si>
  <si>
    <t>いぶき野57-2 株式会社エンクリエイション</t>
  </si>
  <si>
    <t>神奈川県横浜市緑区いぶき野57-2株式会社エンクリエイション</t>
  </si>
  <si>
    <t>365611532786</t>
  </si>
  <si>
    <t>岡山 功</t>
  </si>
  <si>
    <t>0880-37-2438</t>
  </si>
  <si>
    <t>787-0019</t>
  </si>
  <si>
    <t>Pet Nest</t>
  </si>
  <si>
    <t>高知県</t>
  </si>
  <si>
    <t>四万十市</t>
  </si>
  <si>
    <t>具同8724-9</t>
  </si>
  <si>
    <t>高知県四万十市具同8724-9</t>
  </si>
  <si>
    <t>365611531740</t>
  </si>
  <si>
    <t>中村 弥生</t>
  </si>
  <si>
    <t>080-5622-8412</t>
  </si>
  <si>
    <t>073-0044</t>
  </si>
  <si>
    <t>Water bottle,data cable</t>
  </si>
  <si>
    <t>滝川市</t>
  </si>
  <si>
    <t>西町8丁目4ー35 プランドール102号室</t>
  </si>
  <si>
    <t>北海道滝川市西町8丁目4ー35プランドール102号室</t>
  </si>
  <si>
    <t>365611532381</t>
  </si>
  <si>
    <t>住田 美沙子</t>
  </si>
  <si>
    <t>090-7570-7933</t>
  </si>
  <si>
    <t>761-8021</t>
  </si>
  <si>
    <t>Toy Set</t>
  </si>
  <si>
    <t>香川県</t>
  </si>
  <si>
    <t>高松市</t>
  </si>
  <si>
    <t>鬼無町藤井211-2</t>
  </si>
  <si>
    <t>365611532742</t>
  </si>
  <si>
    <t>松尾 ふき</t>
  </si>
  <si>
    <t>090-1126-1985</t>
  </si>
  <si>
    <t>852-8144</t>
  </si>
  <si>
    <t>楽天-ヤナストア</t>
  </si>
  <si>
    <t xml:space="preserve"> 0671670298</t>
  </si>
  <si>
    <t>長崎県</t>
  </si>
  <si>
    <t>長崎市</t>
  </si>
  <si>
    <t>女の都2-37-8</t>
  </si>
  <si>
    <t>長崎県長崎市女の都2-37-8</t>
  </si>
  <si>
    <t xml:space="preserve"> 上野芝町2－5－1－５０７</t>
  </si>
  <si>
    <t>365611532576</t>
  </si>
  <si>
    <t>鹿野 紗夜</t>
  </si>
  <si>
    <t>080-6097-3832</t>
  </si>
  <si>
    <t>050-0076</t>
  </si>
  <si>
    <t>室蘭市</t>
  </si>
  <si>
    <t>知利別町2丁目33-11</t>
  </si>
  <si>
    <t>北海道室蘭市知利別町2丁目33-11</t>
  </si>
  <si>
    <t>365611533405</t>
  </si>
  <si>
    <t>津高 大地</t>
  </si>
  <si>
    <t>090-2397-4162</t>
  </si>
  <si>
    <t>870-0022</t>
  </si>
  <si>
    <t xml:space="preserve"> night light</t>
  </si>
  <si>
    <t>大分県</t>
  </si>
  <si>
    <t>大分市</t>
  </si>
  <si>
    <t>大手町3丁目3-29 クレイン大手町603</t>
  </si>
  <si>
    <t>大分県大分市大手町3丁目3-29クレイン大手町603</t>
  </si>
  <si>
    <t>365611532650</t>
  </si>
  <si>
    <t>菅原 博得</t>
  </si>
  <si>
    <t>080-3066-1425</t>
  </si>
  <si>
    <t>473-0914</t>
  </si>
  <si>
    <t>electric knife sharpener</t>
  </si>
  <si>
    <t>豊田市</t>
  </si>
  <si>
    <t>若林東町石根30-67</t>
  </si>
  <si>
    <t>愛知県豊田市若林東町石根30-67</t>
  </si>
  <si>
    <t>365611532193</t>
  </si>
  <si>
    <t>福山 由香利</t>
  </si>
  <si>
    <t>090-3490-0888</t>
  </si>
  <si>
    <t>552-0007</t>
  </si>
  <si>
    <t>Ornaments</t>
  </si>
  <si>
    <t>大阪市港区</t>
  </si>
  <si>
    <t>弁天2-1-21第20柴田マンション1104号</t>
  </si>
  <si>
    <t>大阪府大阪市港区弁天2-1-21第20柴田マンション1104号</t>
  </si>
  <si>
    <t>365611532646</t>
  </si>
  <si>
    <t>高岩 一正</t>
  </si>
  <si>
    <t>090-3376-5837</t>
  </si>
  <si>
    <t>711-0903</t>
  </si>
  <si>
    <t>岡山県</t>
  </si>
  <si>
    <t>倉敷市</t>
  </si>
  <si>
    <t>児島田の口2-11-7</t>
  </si>
  <si>
    <t>岡山県倉敷市児島田の口2-11-7</t>
  </si>
  <si>
    <t>365611533383</t>
  </si>
  <si>
    <t>中西 佳奈</t>
  </si>
  <si>
    <t>090-4142-6896</t>
  </si>
  <si>
    <t>680-0865</t>
  </si>
  <si>
    <t>Water bottle</t>
  </si>
  <si>
    <t>鳥取県</t>
  </si>
  <si>
    <t>鳥取市</t>
  </si>
  <si>
    <t>古市615サンライズ甚九302（玄関前に置配でお願いします）</t>
  </si>
  <si>
    <t>鳥取県鳥取市古市615サンライズ甚九302（玄関前に置配でお願いします）</t>
  </si>
  <si>
    <t>365611532230</t>
  </si>
  <si>
    <t>長谷川 修二</t>
  </si>
  <si>
    <t>090-9265-8537</t>
  </si>
  <si>
    <t>473-0917</t>
  </si>
  <si>
    <t>Car mounted ventilation fan</t>
  </si>
  <si>
    <t>若林西町向屋敷46-1バンベール若林1008</t>
  </si>
  <si>
    <t>愛知県豊田市若林西町向屋敷46-1バンベール若林1008</t>
  </si>
  <si>
    <t>365611532285</t>
  </si>
  <si>
    <t>ラウンジ ジェイダ</t>
  </si>
  <si>
    <t>090-5202-8456</t>
  </si>
  <si>
    <t>243-0018</t>
  </si>
  <si>
    <t>Cup set</t>
  </si>
  <si>
    <t>厚木市</t>
  </si>
  <si>
    <t>中町2-7-19壱番館ビル2F</t>
  </si>
  <si>
    <t>神奈川県厚木市中町2-7-19壱番館ビル2F</t>
  </si>
  <si>
    <t>365611532123</t>
  </si>
  <si>
    <t>島津 真衣</t>
  </si>
  <si>
    <t>090-4085-3959</t>
  </si>
  <si>
    <t>472-0026</t>
  </si>
  <si>
    <t>Monitoring Auxiliary Bracket</t>
  </si>
  <si>
    <t>知立市</t>
  </si>
  <si>
    <t>上重原町島間55-3</t>
  </si>
  <si>
    <t>愛知県知立市上重原町島間55-3</t>
  </si>
  <si>
    <t>365611532016</t>
  </si>
  <si>
    <t>倉田 進</t>
  </si>
  <si>
    <t>090-8434-7626</t>
  </si>
  <si>
    <t>210-0834</t>
  </si>
  <si>
    <t>川崎市川崎区</t>
  </si>
  <si>
    <t>大島5ー21ー18エクセレントハイツ101号</t>
  </si>
  <si>
    <t>神奈川県川崎市川崎区大島5ー21ー18エクセレントハイッ101号</t>
  </si>
  <si>
    <t>365611532156</t>
  </si>
  <si>
    <t>岡村 剛</t>
  </si>
  <si>
    <t>0982-33-0595</t>
  </si>
  <si>
    <t>882-0875</t>
  </si>
  <si>
    <t>vehicle fan</t>
  </si>
  <si>
    <t>宮崎県</t>
  </si>
  <si>
    <t>延岡市</t>
  </si>
  <si>
    <t>若葉町1-2738-3</t>
  </si>
  <si>
    <t>宮崎県延岡市若葉町1-2738-3</t>
  </si>
  <si>
    <t>365611532311</t>
  </si>
  <si>
    <t>山下 公浩</t>
  </si>
  <si>
    <t>090-7925-2186</t>
  </si>
  <si>
    <t>899-6303</t>
  </si>
  <si>
    <t>鹿児島県</t>
  </si>
  <si>
    <t>霧島市</t>
  </si>
  <si>
    <t>横川町中ノ5406-42</t>
  </si>
  <si>
    <t>鹿児島県霧島市横川町中ノ5406-42</t>
  </si>
  <si>
    <t>365611532005</t>
  </si>
  <si>
    <t>中安 久美子</t>
  </si>
  <si>
    <t>078-976-0712</t>
  </si>
  <si>
    <t>651-2113</t>
  </si>
  <si>
    <t>神戸市西区</t>
  </si>
  <si>
    <t>伊川谷町有瀬165ー124</t>
  </si>
  <si>
    <t>兵庫県神戸市西区伊川谷町有瀬165ー124</t>
  </si>
  <si>
    <t>365611531902</t>
  </si>
  <si>
    <t>小野寺 基</t>
  </si>
  <si>
    <t>080-5291-3510</t>
  </si>
  <si>
    <t>411-0943</t>
  </si>
  <si>
    <t>wall fitting</t>
  </si>
  <si>
    <t>駿東郡長泉町</t>
  </si>
  <si>
    <t>長泉町下土狩840-43</t>
  </si>
  <si>
    <t>静岡県駿東郡長泉町下土狩長泉町840-43</t>
  </si>
  <si>
    <t>365611531994</t>
  </si>
  <si>
    <t>豊野 修二</t>
  </si>
  <si>
    <t>090-7071-9064</t>
  </si>
  <si>
    <t>990-2423</t>
  </si>
  <si>
    <t>Youth outdoor fishing equipment</t>
  </si>
  <si>
    <t>山形県</t>
  </si>
  <si>
    <t>山形市</t>
  </si>
  <si>
    <t>東青田2-17-12</t>
  </si>
  <si>
    <t>山形県山形市東青田2-17-12</t>
  </si>
  <si>
    <t>365611532392</t>
  </si>
  <si>
    <t>遠藤 清</t>
  </si>
  <si>
    <t>090-6546-9733</t>
  </si>
  <si>
    <t>143-0023</t>
  </si>
  <si>
    <t>FINTRUE</t>
  </si>
  <si>
    <t xml:space="preserve"> 05058401648</t>
  </si>
  <si>
    <t>Toy</t>
  </si>
  <si>
    <t>大田区</t>
  </si>
  <si>
    <t>山王4-29-1</t>
  </si>
  <si>
    <t>東京都大田区山王4-29-1</t>
  </si>
  <si>
    <t xml:space="preserve"> 大阪府大阪市中央区安堂寺町2-1-3-901</t>
  </si>
  <si>
    <t>365611533184</t>
  </si>
  <si>
    <t>山本 郁恵</t>
  </si>
  <si>
    <t>090-9537-3873</t>
  </si>
  <si>
    <t>300-2622</t>
  </si>
  <si>
    <t>つくば市</t>
  </si>
  <si>
    <t>要315番地18キャラット23 202</t>
  </si>
  <si>
    <t>茨城県つくば市要315番地18キャラット23202</t>
  </si>
  <si>
    <t>365611530616</t>
  </si>
  <si>
    <t>津久井 久和</t>
  </si>
  <si>
    <t>045-731-3232</t>
  </si>
  <si>
    <t>232-0076</t>
  </si>
  <si>
    <t>belt</t>
  </si>
  <si>
    <t>横浜市南区</t>
  </si>
  <si>
    <t>永田台2-12-1119</t>
  </si>
  <si>
    <t>神奈川県横浜市南区永田台2-12-1119</t>
  </si>
  <si>
    <t>365611530546</t>
  </si>
  <si>
    <t>綺 薇</t>
  </si>
  <si>
    <t>090-3484-7488</t>
  </si>
  <si>
    <t>420-0034</t>
  </si>
  <si>
    <t>Light bulb</t>
  </si>
  <si>
    <t>静岡市葵区</t>
  </si>
  <si>
    <t>常磐町1-2-2 一番館</t>
  </si>
  <si>
    <t>静岡県静岡市葵区常磐町1-2-2一番館</t>
  </si>
  <si>
    <t>365611530561</t>
  </si>
  <si>
    <t>松川 美知子</t>
  </si>
  <si>
    <t>090-1944-4786</t>
  </si>
  <si>
    <t>905-0005</t>
  </si>
  <si>
    <t>Rubik's Cube</t>
  </si>
  <si>
    <t>沖縄県</t>
  </si>
  <si>
    <t>名護市</t>
  </si>
  <si>
    <t>為又911-9 カーサプラシード湧田301号室</t>
  </si>
  <si>
    <t>沖縄県名護市為又911-9カーサプラシード湧田301号室</t>
  </si>
  <si>
    <t>365611530524</t>
  </si>
  <si>
    <t>安 淑子</t>
  </si>
  <si>
    <t>078-743-5609</t>
  </si>
  <si>
    <t>654-0121</t>
  </si>
  <si>
    <t>神戸市須磨区</t>
  </si>
  <si>
    <t>妙法寺口中山858-18</t>
  </si>
  <si>
    <t>兵庫県神戸市須磨区妙法寺口中山858-18</t>
  </si>
  <si>
    <t>365611530642</t>
  </si>
  <si>
    <t>古賀 理絵</t>
  </si>
  <si>
    <t>090-8668-8966</t>
  </si>
  <si>
    <t>860-0862</t>
  </si>
  <si>
    <t>熊本県</t>
  </si>
  <si>
    <t>熊本市中央区</t>
  </si>
  <si>
    <t>黒髪3-6-11 ブルームーンビル</t>
  </si>
  <si>
    <t>熊本県熊本市中央区黒髪3-6-11ブルームーンビル</t>
  </si>
  <si>
    <t>365611530465</t>
  </si>
  <si>
    <t>堤 義隆</t>
  </si>
  <si>
    <t>090-1565-5755</t>
  </si>
  <si>
    <t>220-0041</t>
  </si>
  <si>
    <t>Condiment bottle set picnic</t>
  </si>
  <si>
    <t>横浜市西区</t>
  </si>
  <si>
    <t>戸部本町34-1ヌーヴェル横浜503</t>
  </si>
  <si>
    <t>神奈川県横浜市西区戸部本町34-1ヌーヴェル横浜503</t>
  </si>
  <si>
    <t>365611531950</t>
  </si>
  <si>
    <t>来栖 万都香</t>
  </si>
  <si>
    <t>090-4066-0299</t>
  </si>
  <si>
    <t>181-0001</t>
  </si>
  <si>
    <t>Flowerpots</t>
  </si>
  <si>
    <t>三鷹市</t>
  </si>
  <si>
    <t>井の頭2-13-8 グラスガーデン井の頭1-210</t>
  </si>
  <si>
    <t>東京都三鷹市井の頭2-13-8グラスガーデン井の頭1-210</t>
  </si>
  <si>
    <t>365611530734</t>
  </si>
  <si>
    <t>片山 由佳里</t>
  </si>
  <si>
    <t>080-3218-0571</t>
  </si>
  <si>
    <t>279-0041</t>
  </si>
  <si>
    <t>りんご</t>
  </si>
  <si>
    <t xml:space="preserve"> 0671667233</t>
  </si>
  <si>
    <t>developmental toys</t>
  </si>
  <si>
    <t>浦安市</t>
  </si>
  <si>
    <t>堀江2-24-25</t>
  </si>
  <si>
    <t>千葉県浦安市堀江2-24-25</t>
  </si>
  <si>
    <t>大阪市</t>
  </si>
  <si>
    <t xml:space="preserve"> 敷津東３－５－１－１５１４号</t>
  </si>
  <si>
    <t>365611530410</t>
  </si>
  <si>
    <t>小倉 香織</t>
  </si>
  <si>
    <t>03-3890-5128</t>
  </si>
  <si>
    <t>123-0861</t>
  </si>
  <si>
    <t>Receive bag</t>
  </si>
  <si>
    <t>加賀二丁目三十一番地4ー305</t>
  </si>
  <si>
    <t>東京都足立区加賀二丁目三十一番地4ー305</t>
  </si>
  <si>
    <t>365611530690</t>
  </si>
  <si>
    <t>中尾 健一郎</t>
  </si>
  <si>
    <t>080-1763-8874</t>
  </si>
  <si>
    <t>811-3425</t>
  </si>
  <si>
    <t>toy</t>
  </si>
  <si>
    <t>宗像市</t>
  </si>
  <si>
    <t>日の里一丁目25-4</t>
  </si>
  <si>
    <t>福岡県宗像市日の里一丁目25-4</t>
  </si>
  <si>
    <t>365611530653</t>
  </si>
  <si>
    <t>高橋 政美</t>
  </si>
  <si>
    <t>090-8007-2514</t>
  </si>
  <si>
    <t>399-8204</t>
  </si>
  <si>
    <t>Bluetooth headset</t>
  </si>
  <si>
    <t>安曇野市</t>
  </si>
  <si>
    <t>豊科高家3544-1 Green Villa 501</t>
  </si>
  <si>
    <t>長野県安曇野市豊科高家3544-1GREENVILLA501</t>
  </si>
  <si>
    <t>365611530966</t>
  </si>
  <si>
    <t>上杉 祐</t>
  </si>
  <si>
    <t>080-9398-8923</t>
  </si>
  <si>
    <t>182-0023</t>
  </si>
  <si>
    <t>Fluorescence</t>
  </si>
  <si>
    <t>染地2-8-219 パークホームズ調布桜堤通り209</t>
  </si>
  <si>
    <t>東京都調布市染地2-8-219パークホームズ調布桜堤通り209</t>
  </si>
  <si>
    <t>365611531725</t>
  </si>
  <si>
    <t>平瀬 良夫</t>
  </si>
  <si>
    <t>080-3761-9340</t>
  </si>
  <si>
    <t>632-0052</t>
  </si>
  <si>
    <t>Car fan</t>
  </si>
  <si>
    <t>天理市</t>
  </si>
  <si>
    <t>柳本町2537</t>
  </si>
  <si>
    <t>奈良県天理市柳本町2537</t>
  </si>
  <si>
    <t>365611530686</t>
  </si>
  <si>
    <t>池下 舞</t>
  </si>
  <si>
    <t>090-6997-6168</t>
  </si>
  <si>
    <t>089-2637</t>
  </si>
  <si>
    <t>広尾郡広尾町</t>
  </si>
  <si>
    <t>茂寄127-4</t>
  </si>
  <si>
    <t>北海道広尾郡広尾町茂寄127-4</t>
  </si>
  <si>
    <t>365611531762</t>
  </si>
  <si>
    <t>新垣 智子</t>
  </si>
  <si>
    <t>090-1713-4246</t>
  </si>
  <si>
    <t>572-0841</t>
  </si>
  <si>
    <t>watch band</t>
  </si>
  <si>
    <t>寝屋川市</t>
  </si>
  <si>
    <t>太秦東が丘21-11</t>
  </si>
  <si>
    <t>大阪府寝屋川市太秦東が丘21-11</t>
  </si>
  <si>
    <t>365611531736</t>
  </si>
  <si>
    <t>花岡 宏幸</t>
  </si>
  <si>
    <t>0798-74-8778</t>
  </si>
  <si>
    <t>662-0024</t>
  </si>
  <si>
    <t>西宮市</t>
  </si>
  <si>
    <t>名次町4-12むくの木ビル1F はなおか鍼灸整骨院</t>
  </si>
  <si>
    <t>兵庫県西宮市名次町4-12むくの木ビル1Fはなおか鍼灸整骨院</t>
  </si>
  <si>
    <t>365611531751</t>
  </si>
  <si>
    <t>江崎 貴義</t>
  </si>
  <si>
    <t>090-3191-6228</t>
  </si>
  <si>
    <t>436-0026</t>
  </si>
  <si>
    <t>Heating Waist Support</t>
  </si>
  <si>
    <t>掛川市</t>
  </si>
  <si>
    <t>下俣南2-23-5 松浦アパート505</t>
  </si>
  <si>
    <t>静岡県掛川市下俣南2-23-5松浦アパート505</t>
  </si>
  <si>
    <t>365611531795</t>
  </si>
  <si>
    <t>水野 博之</t>
  </si>
  <si>
    <t>090-1364-4146</t>
  </si>
  <si>
    <t>890-0082</t>
  </si>
  <si>
    <t>Kitchen utensil</t>
  </si>
  <si>
    <t>鹿児島市</t>
  </si>
  <si>
    <t>紫原3丁目58-18（16:00-18:00配達希望）</t>
  </si>
  <si>
    <t>鹿児島県鹿児島市紫原3丁目58-18（16:00-18:00配達希望）</t>
  </si>
  <si>
    <t>365611530955</t>
  </si>
  <si>
    <t>深田 学</t>
  </si>
  <si>
    <t>0467-67-0913</t>
  </si>
  <si>
    <t>252-1111</t>
  </si>
  <si>
    <t>Piggy bank toy</t>
  </si>
  <si>
    <t>綾瀬市</t>
  </si>
  <si>
    <t>上土棚北2-8-29-1</t>
  </si>
  <si>
    <t>神奈川県綾瀬市上土棚北2-8-29-1</t>
  </si>
  <si>
    <t>365611531040</t>
  </si>
  <si>
    <t>加藤 滉平</t>
  </si>
  <si>
    <t>080-6025-1549</t>
  </si>
  <si>
    <t>178-0061</t>
  </si>
  <si>
    <t>練馬区</t>
  </si>
  <si>
    <t>大泉学園町4-9-9 パストラル103号室</t>
  </si>
  <si>
    <t>東京都練馬区大泉学園町4-9-9パストラル103号室</t>
  </si>
  <si>
    <t>365611530896</t>
  </si>
  <si>
    <t>唐渡 成行</t>
  </si>
  <si>
    <t>090-6282-4175</t>
  </si>
  <si>
    <t>761-8076</t>
  </si>
  <si>
    <t>多肥上町13 フォブールアベリアB202</t>
  </si>
  <si>
    <t>香川県高松市多肥上町13フォブールアベリアB202</t>
  </si>
  <si>
    <t>365611531806</t>
  </si>
  <si>
    <t>市野 沙和</t>
  </si>
  <si>
    <t>090-6336-0574</t>
  </si>
  <si>
    <t>490-1431</t>
  </si>
  <si>
    <t>海部郡飛島村</t>
  </si>
  <si>
    <t>大字服岡5丁目40ー6  発送予定日：2025-06-28(土)</t>
  </si>
  <si>
    <t>愛知県海部郡飛島村服岡大字5丁目40ー6発送予定日：2025-06-28(土)</t>
  </si>
  <si>
    <t>365611530900</t>
  </si>
  <si>
    <t>浅井 ひろ子</t>
  </si>
  <si>
    <t>090-3586-3489</t>
  </si>
  <si>
    <t>486-0818</t>
  </si>
  <si>
    <t>春日井市</t>
  </si>
  <si>
    <t>東野町西2-8-18</t>
  </si>
  <si>
    <t>愛知県春日井市東野町西2-8-18</t>
  </si>
  <si>
    <t>365611530922</t>
  </si>
  <si>
    <t>高野 淳</t>
  </si>
  <si>
    <t>090-4524-5327</t>
  </si>
  <si>
    <t>391-0301</t>
  </si>
  <si>
    <t>Outdoor LED lights</t>
  </si>
  <si>
    <t>北山字鹿山4026-255 からまつ台5-10-22</t>
  </si>
  <si>
    <t>長野県茅野市北山字鹿山4026-255からまつ台5-10-22</t>
  </si>
  <si>
    <t>365611531692</t>
  </si>
  <si>
    <t>百 裕奈</t>
  </si>
  <si>
    <t>080-3167-7228</t>
  </si>
  <si>
    <t>771-0204</t>
  </si>
  <si>
    <t>楽天-kaneshiro</t>
  </si>
  <si>
    <t xml:space="preserve"> 05030921748</t>
  </si>
  <si>
    <t>徳島県</t>
  </si>
  <si>
    <t>板野郡北島町</t>
  </si>
  <si>
    <t>鯛浜字川久保118番11</t>
  </si>
  <si>
    <t>徳島県板野郡北島町鯛浜字川久保118番11</t>
  </si>
  <si>
    <t xml:space="preserve"> 大阪府大阪市東住吉区住道矢田七丁目１０番１３号</t>
  </si>
  <si>
    <t>365611529581</t>
  </si>
  <si>
    <t>堤 智鶴</t>
  </si>
  <si>
    <t>043-312-6958</t>
  </si>
  <si>
    <t>289-1107</t>
  </si>
  <si>
    <t>Solar outdoor lamp（9sets）,Shoe drying rack</t>
  </si>
  <si>
    <t>八街市</t>
  </si>
  <si>
    <t>八街は16-176</t>
  </si>
  <si>
    <t>千葉県八街市八街は16-176</t>
  </si>
  <si>
    <t>365611529754</t>
  </si>
  <si>
    <t>山田 紀子</t>
  </si>
  <si>
    <t>070-9089-3424</t>
  </si>
  <si>
    <t>652-0802</t>
  </si>
  <si>
    <t>Dragon Ornaments</t>
  </si>
  <si>
    <t>神戸市兵庫区</t>
  </si>
  <si>
    <t>水木通4丁目2-22</t>
  </si>
  <si>
    <t>兵庫県神戸市兵庫区水木通4丁目2-22</t>
  </si>
  <si>
    <t>365611529603</t>
  </si>
  <si>
    <t>柴山 佳代子</t>
  </si>
  <si>
    <t>090-3557-0781</t>
  </si>
  <si>
    <t>444-2118</t>
  </si>
  <si>
    <t>wheelchair restraint</t>
  </si>
  <si>
    <t>岡崎市</t>
  </si>
  <si>
    <t>河原町18-25</t>
  </si>
  <si>
    <t>愛知県岡崎市河原町18-25</t>
  </si>
  <si>
    <t>365611530384</t>
  </si>
  <si>
    <t>北出 祥子</t>
  </si>
  <si>
    <t>090-3996-4890</t>
  </si>
  <si>
    <t>590-0011</t>
  </si>
  <si>
    <t>堺市堺区</t>
  </si>
  <si>
    <t>香ヶ丘町1丁12ー20</t>
  </si>
  <si>
    <t>大阪府堺市堺区香ケ丘町1丁12ー20</t>
  </si>
  <si>
    <t>365611529721</t>
  </si>
  <si>
    <t>今泉 真理子</t>
  </si>
  <si>
    <t>080-6952-6898</t>
  </si>
  <si>
    <t>441-1361</t>
  </si>
  <si>
    <t>Disposable wristband</t>
  </si>
  <si>
    <t>新城市</t>
  </si>
  <si>
    <t>平井字西浦62</t>
  </si>
  <si>
    <t>愛知県新城市平井字西浦62</t>
  </si>
  <si>
    <t>365611526615</t>
  </si>
  <si>
    <t>小谷 智美</t>
  </si>
  <si>
    <t>090-8864-2141</t>
  </si>
  <si>
    <t>509-6361</t>
  </si>
  <si>
    <t>food steamer</t>
  </si>
  <si>
    <t>岐阜県</t>
  </si>
  <si>
    <t>瑞浪市</t>
  </si>
  <si>
    <t>陶町猿爪719-30 瑞浪オーガニックファーム  配送予定日：2025-06-26(木)</t>
  </si>
  <si>
    <t>岐阜県瑞浪市陶町猿爪719-30瑞浪オーガニックファーム配送予定日：2025-06-26(木)</t>
  </si>
  <si>
    <t>365611529846</t>
  </si>
  <si>
    <t>結城 美玲</t>
  </si>
  <si>
    <t>080-5000-0229</t>
  </si>
  <si>
    <t>124-0006</t>
  </si>
  <si>
    <t>Honey jar</t>
  </si>
  <si>
    <t>葛飾区</t>
  </si>
  <si>
    <t>堀切3-4-10 アゼスト堀切菖蒲園II 403号室</t>
  </si>
  <si>
    <t>東京都葛飾区堀切3-4-10アゼスト堀切菖蒲園II403号室</t>
  </si>
  <si>
    <t>365611529695</t>
  </si>
  <si>
    <t>東田 誠</t>
  </si>
  <si>
    <t>072-766-0529</t>
  </si>
  <si>
    <t>666-0233</t>
  </si>
  <si>
    <t>Watch Box</t>
  </si>
  <si>
    <t>川辺郡猪名川町</t>
  </si>
  <si>
    <t>紫合字北裏762</t>
  </si>
  <si>
    <t>兵庫県川辺郡猪名川町紫合字北裏762</t>
  </si>
  <si>
    <t>365611529625</t>
  </si>
  <si>
    <t>奥井 敏美</t>
  </si>
  <si>
    <t>0595-45-3325</t>
  </si>
  <si>
    <t>519-1424</t>
  </si>
  <si>
    <t>伊賀市</t>
  </si>
  <si>
    <t>川東1716</t>
  </si>
  <si>
    <t>三重県伊賀市川東1716</t>
  </si>
  <si>
    <t>365611529883</t>
  </si>
  <si>
    <t>山藤興業 株式会社</t>
  </si>
  <si>
    <t>048-456-1761</t>
  </si>
  <si>
    <t>353-0002</t>
  </si>
  <si>
    <t>埼玉県</t>
  </si>
  <si>
    <t>志木市</t>
  </si>
  <si>
    <t>中宗岡3-15-37</t>
  </si>
  <si>
    <t>埼玉県志木市中宗岡3-15-37</t>
  </si>
  <si>
    <t>365611529920</t>
  </si>
  <si>
    <t>内田 有紗</t>
  </si>
  <si>
    <t>03-3293-0041</t>
  </si>
  <si>
    <t>101-0047</t>
  </si>
  <si>
    <t>Table card</t>
  </si>
  <si>
    <t>千代田区</t>
  </si>
  <si>
    <t>内神田1-3-3 2階 日本経営合理化協会</t>
  </si>
  <si>
    <t>東京都千代田区内神田1-3-32階日本経営合理化協会</t>
  </si>
  <si>
    <t>365611530270</t>
  </si>
  <si>
    <t>櫻井 和季</t>
  </si>
  <si>
    <t>048-563-1495</t>
  </si>
  <si>
    <t>348-0052</t>
  </si>
  <si>
    <t>mobile phone holder</t>
  </si>
  <si>
    <t>羽生市</t>
  </si>
  <si>
    <t>東3-36-1</t>
  </si>
  <si>
    <t>埼玉県羽生市東3-36-1</t>
  </si>
  <si>
    <t>365611529953</t>
  </si>
  <si>
    <t>前田 穂乃香</t>
  </si>
  <si>
    <t>090-9881-1163</t>
  </si>
  <si>
    <t>651-2105</t>
  </si>
  <si>
    <t>Inflatable swimming pool</t>
  </si>
  <si>
    <t>伊川谷町上脇1006-171</t>
  </si>
  <si>
    <t>兵庫県神戸市西区伊川谷町上脇1006-171</t>
  </si>
  <si>
    <t>365611530233</t>
  </si>
  <si>
    <t>原田 大次郎</t>
  </si>
  <si>
    <t>090-1016-3284</t>
  </si>
  <si>
    <t>710-0027</t>
  </si>
  <si>
    <t>Ice box</t>
  </si>
  <si>
    <t>西田649-4</t>
  </si>
  <si>
    <t>岡山県倉敷市西田649-4</t>
  </si>
  <si>
    <t>365611528855</t>
  </si>
  <si>
    <t>新井 孝幸</t>
  </si>
  <si>
    <t>090-1559-5741</t>
  </si>
  <si>
    <t>369-1203</t>
  </si>
  <si>
    <t>wireless door bell</t>
  </si>
  <si>
    <t>大里郡寄居町</t>
  </si>
  <si>
    <t>寄居 1445-6 ビューティー トパーズ</t>
  </si>
  <si>
    <t>埼玉県大里郡寄居町寄居1445-6ビューティートパーズ</t>
  </si>
  <si>
    <t>365611528715</t>
  </si>
  <si>
    <t>鈴木 賀津子</t>
  </si>
  <si>
    <t>090-3854-3773</t>
  </si>
  <si>
    <t>442-0062</t>
  </si>
  <si>
    <t>adhesive tape,Waterproof and mildew proof tape</t>
  </si>
  <si>
    <t>豊川市</t>
  </si>
  <si>
    <t>本野町百々16-2</t>
  </si>
  <si>
    <t>愛知県豊川市本野町百々16-2</t>
  </si>
  <si>
    <t>365611528914</t>
  </si>
  <si>
    <t>平澤 一也</t>
  </si>
  <si>
    <t>080-5140-5447</t>
  </si>
  <si>
    <t>399-1401</t>
  </si>
  <si>
    <t>led</t>
  </si>
  <si>
    <t>飯田市</t>
  </si>
  <si>
    <t>南信濃木沢1399</t>
  </si>
  <si>
    <t>長野県飯田市南信濃木沢1399</t>
  </si>
  <si>
    <t>365611529474</t>
  </si>
  <si>
    <t>吉永 由紀乃</t>
  </si>
  <si>
    <t>070-4343-3246</t>
  </si>
  <si>
    <t>240-0001</t>
  </si>
  <si>
    <t>PLASTIC TOYS</t>
  </si>
  <si>
    <t>横浜市金沢区</t>
  </si>
  <si>
    <t>六浦南3-10-7</t>
  </si>
  <si>
    <t>365611528925</t>
  </si>
  <si>
    <t>荒木 治和</t>
  </si>
  <si>
    <t>0778-34-0231</t>
  </si>
  <si>
    <t>916-0152</t>
  </si>
  <si>
    <t>Wall lamp</t>
  </si>
  <si>
    <t>丹生郡越前町</t>
  </si>
  <si>
    <t>越前町青野15-10</t>
  </si>
  <si>
    <t>福井県丹生郡越前町青野越前町15-10</t>
  </si>
  <si>
    <t>365611528870</t>
  </si>
  <si>
    <t>高橋 聡</t>
  </si>
  <si>
    <t>090-6404-2846</t>
  </si>
  <si>
    <t>723-0142</t>
  </si>
  <si>
    <t>Pen Holder</t>
  </si>
  <si>
    <t>三原市</t>
  </si>
  <si>
    <t>沼田東町末光2-7</t>
  </si>
  <si>
    <t>広島県三原市沼田東町末光2-7</t>
  </si>
  <si>
    <t>365611529463</t>
  </si>
  <si>
    <t>青山 啓一</t>
  </si>
  <si>
    <t>080-1551-5888</t>
  </si>
  <si>
    <t>511-0046</t>
  </si>
  <si>
    <t>pen box</t>
  </si>
  <si>
    <t>桑名市</t>
  </si>
  <si>
    <t>一色町96-3 マイン96 501号室</t>
  </si>
  <si>
    <t>三重県桑名市一色町96-3マイン96501号室</t>
  </si>
  <si>
    <t>365611528601</t>
  </si>
  <si>
    <t>畔取 和樹</t>
  </si>
  <si>
    <t>080-1431-0696</t>
  </si>
  <si>
    <t>640-8328</t>
  </si>
  <si>
    <t>alarm clock</t>
  </si>
  <si>
    <t>和歌山県</t>
  </si>
  <si>
    <t>和歌山市</t>
  </si>
  <si>
    <t>木広町2丁目85番地1</t>
  </si>
  <si>
    <t>和歌山県和歌山市木広町2丁目85番地1</t>
  </si>
  <si>
    <t>365611528531</t>
  </si>
  <si>
    <t>草野 妙子</t>
  </si>
  <si>
    <t>080-1709-2320</t>
  </si>
  <si>
    <t>102-0081</t>
  </si>
  <si>
    <t>candle</t>
  </si>
  <si>
    <t>四番町8-11 パークハウス四番町601号室</t>
  </si>
  <si>
    <t>東京都千代田区四番町8-11パークハウス四番町601号室</t>
  </si>
  <si>
    <t>365611528951</t>
  </si>
  <si>
    <t>中家 淳次</t>
  </si>
  <si>
    <t>090-4788-2874</t>
  </si>
  <si>
    <t>791-1201</t>
  </si>
  <si>
    <t>Toy car</t>
  </si>
  <si>
    <t>愛媛県</t>
  </si>
  <si>
    <t>上浮穴郡久万高原町</t>
  </si>
  <si>
    <t>久万265-3</t>
  </si>
  <si>
    <t>愛媛県上浮穴郡久万高原町久万265-3</t>
  </si>
  <si>
    <t>365611528995</t>
  </si>
  <si>
    <t>南家 春香</t>
  </si>
  <si>
    <t>080-6064-0307</t>
  </si>
  <si>
    <t>061-1409</t>
  </si>
  <si>
    <t>microphone</t>
  </si>
  <si>
    <t>恵庭市</t>
  </si>
  <si>
    <t>黄金南1丁目20ー14</t>
  </si>
  <si>
    <t>北海道恵庭市黄金南1丁目20ー14</t>
  </si>
  <si>
    <t>365611528656</t>
  </si>
  <si>
    <t>河谷 早苗</t>
  </si>
  <si>
    <t>078-862-9623</t>
  </si>
  <si>
    <t>658-0014</t>
  </si>
  <si>
    <t>Alarm clock</t>
  </si>
  <si>
    <t>神戸市東灘区</t>
  </si>
  <si>
    <t>北青木4-14-22</t>
  </si>
  <si>
    <t>兵庫県神戸市東灘区北青木4-14-22</t>
  </si>
  <si>
    <t>365611528402</t>
  </si>
  <si>
    <t>志水 孝一</t>
  </si>
  <si>
    <t>090-5873-4360</t>
  </si>
  <si>
    <t>476-0003</t>
  </si>
  <si>
    <t>Electric shower</t>
  </si>
  <si>
    <t>東海市</t>
  </si>
  <si>
    <t>荒尾町向山21ビッレチ向山　五号棟103</t>
  </si>
  <si>
    <t>愛知県東海市荒尾町向山21ビッレチ向山　五号棟103</t>
  </si>
  <si>
    <t>365611528564</t>
  </si>
  <si>
    <t>石川 祐希</t>
  </si>
  <si>
    <t>080-9004-7456</t>
  </si>
  <si>
    <t>350-1166</t>
  </si>
  <si>
    <t>Coffee machine toy</t>
  </si>
  <si>
    <t>川越市</t>
  </si>
  <si>
    <t>藤倉2-19-5 アーバンオレンジ102号</t>
  </si>
  <si>
    <t>埼玉県川越市藤倉2-19-5アーバンオレンジ102号</t>
  </si>
  <si>
    <t>365611528844</t>
  </si>
  <si>
    <t>野尻 謙</t>
  </si>
  <si>
    <t>090-5452-4128</t>
  </si>
  <si>
    <t>452-0011</t>
  </si>
  <si>
    <t>Data cable adapter</t>
  </si>
  <si>
    <t>清須市</t>
  </si>
  <si>
    <t>西枇杷島町城並2-3-4 サティスファクション101</t>
  </si>
  <si>
    <t>愛知県清須市西枇杷島町城並2-3-4サティスファクション101</t>
  </si>
  <si>
    <t>365611528962</t>
  </si>
  <si>
    <t>内村 美穂</t>
  </si>
  <si>
    <t>090-8602-0873</t>
  </si>
  <si>
    <t>722-0215</t>
  </si>
  <si>
    <t>尾道市</t>
  </si>
  <si>
    <t>美ノ郷町三成54-1サンパティーク102</t>
  </si>
  <si>
    <t>広島県尾道市美ノ郷町三成54-1サンパティーク102</t>
  </si>
  <si>
    <t>365611528413</t>
  </si>
  <si>
    <t>明時 ひとみ</t>
  </si>
  <si>
    <t>080-5317-0857</t>
  </si>
  <si>
    <t>582-0025</t>
  </si>
  <si>
    <t>Soap</t>
  </si>
  <si>
    <t>国分西2-3-66ハイツあかしど202</t>
  </si>
  <si>
    <t>大阪府柏原市国分西2-3-66ハイッあかしど202</t>
  </si>
  <si>
    <t>365611528435</t>
  </si>
  <si>
    <t>金森 好信</t>
  </si>
  <si>
    <t>052-829-0067</t>
  </si>
  <si>
    <t>467-0841</t>
  </si>
  <si>
    <t>名古屋市瑞穂区</t>
  </si>
  <si>
    <t>瑞穂区苗代町27番20号</t>
  </si>
  <si>
    <t>愛知県名古屋市瑞穂区苗代町瑞穂区27番20号</t>
  </si>
  <si>
    <t>365611528494</t>
  </si>
  <si>
    <t>澤井 隆人</t>
  </si>
  <si>
    <t>080-3668-1675</t>
  </si>
  <si>
    <t>431-0213</t>
  </si>
  <si>
    <t>chamber pot</t>
  </si>
  <si>
    <t>浜松市中央区</t>
  </si>
  <si>
    <t>舞阪町浜田246</t>
  </si>
  <si>
    <t>365611528660</t>
  </si>
  <si>
    <t>木村 萌音</t>
  </si>
  <si>
    <t>080-6008-9647</t>
  </si>
  <si>
    <t>510-8124</t>
  </si>
  <si>
    <t>lunch box</t>
  </si>
  <si>
    <t>三重郡川越町</t>
  </si>
  <si>
    <t>南福崎413-15</t>
  </si>
  <si>
    <t>三重県三重郡川越町南福崎413-15</t>
  </si>
  <si>
    <t>365611528612</t>
  </si>
  <si>
    <t>鳥越 ただのり</t>
  </si>
  <si>
    <t>080-4278-5664</t>
  </si>
  <si>
    <t>814-0022</t>
  </si>
  <si>
    <t>incense burner</t>
  </si>
  <si>
    <t>福岡市早良区</t>
  </si>
  <si>
    <t>原5-7-2-503</t>
  </si>
  <si>
    <t>福岡県福岡市早良区原5-7-2-503</t>
  </si>
  <si>
    <t>365611528752</t>
  </si>
  <si>
    <t>田中 伊佐夫</t>
  </si>
  <si>
    <t>090-1887-8453</t>
  </si>
  <si>
    <t>154-0012</t>
  </si>
  <si>
    <t>led,solar light</t>
  </si>
  <si>
    <t>世田谷区</t>
  </si>
  <si>
    <t>駒沢3-13-2</t>
  </si>
  <si>
    <t>東京都世田谷区駒沢3-13-2</t>
  </si>
  <si>
    <t>365611529065</t>
  </si>
  <si>
    <t>長尾 眞二</t>
  </si>
  <si>
    <t>090-9289-3718</t>
  </si>
  <si>
    <t>535-0031</t>
  </si>
  <si>
    <t>clothing</t>
  </si>
  <si>
    <t>大阪市旭区</t>
  </si>
  <si>
    <t>高殿6-23-10-1402</t>
  </si>
  <si>
    <t>大阪府大阪市旭区高殿6-23-10-1402</t>
  </si>
  <si>
    <t>365611527341</t>
  </si>
  <si>
    <t>宿利 蓮</t>
  </si>
  <si>
    <t>093-282-9561</t>
  </si>
  <si>
    <t>811-4215</t>
  </si>
  <si>
    <t>遠賀郡岡垣町</t>
  </si>
  <si>
    <t>旭台4-21-10</t>
  </si>
  <si>
    <t>福岡県遠賀郡岡垣町旭台4-21-10</t>
  </si>
  <si>
    <t>365611527536</t>
  </si>
  <si>
    <t>松本 淳子</t>
  </si>
  <si>
    <t>090-7066-1700</t>
  </si>
  <si>
    <t>963-1154</t>
  </si>
  <si>
    <t>bag,lamp</t>
  </si>
  <si>
    <t>福島県</t>
  </si>
  <si>
    <t>郡山市</t>
  </si>
  <si>
    <t>田村町岩作小人町5-1</t>
  </si>
  <si>
    <t>福島県郡山市田村町岩作小人町5-1</t>
  </si>
  <si>
    <t>365611527606</t>
  </si>
  <si>
    <t>西 大成</t>
  </si>
  <si>
    <t>090-9585-7254</t>
  </si>
  <si>
    <t>739-0047</t>
  </si>
  <si>
    <t>Kettle</t>
  </si>
  <si>
    <t>東広島市</t>
  </si>
  <si>
    <t>西条下見5-2-41コモド西条308号室  配送予定日：2025-07-06(日)</t>
  </si>
  <si>
    <t>広島県東広島市西条下見5-2-41コモド西条308号室配送予定日：2025-07-06(日)</t>
  </si>
  <si>
    <t>365611527621</t>
  </si>
  <si>
    <t>中神 千鶴</t>
  </si>
  <si>
    <t>090-7767-1185</t>
  </si>
  <si>
    <t>862-0926</t>
  </si>
  <si>
    <t>楽天-MaumeloStore</t>
  </si>
  <si>
    <t xml:space="preserve"> 07-2600-0209</t>
  </si>
  <si>
    <t>熊本市東区</t>
  </si>
  <si>
    <t>保田窪4ー7ー17ボナールA102</t>
  </si>
  <si>
    <t>熊本県熊本市東区保田窪4ー7ー17ボナールA102</t>
  </si>
  <si>
    <t xml:space="preserve"> 大阪府茨木市郡３-28-４</t>
  </si>
  <si>
    <t>365611527724</t>
  </si>
  <si>
    <t>河野 朝光　陽向</t>
  </si>
  <si>
    <t>090-7293-5776</t>
  </si>
  <si>
    <t>862-0911</t>
  </si>
  <si>
    <t>健軍3-43-34-101</t>
  </si>
  <si>
    <t>熊本県熊本市東区健軍3-43-34-101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</si>
</sst>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8" formatCode="&quot;￥&quot;#,##0.00;[Red]&quot;￥&quot;\-#,##0.00"/>
    <numFmt numFmtId="176" formatCode="0_);[Red]\(0\)"/>
    <numFmt numFmtId="177" formatCode="0_ "/>
    <numFmt numFmtId="178" formatCode="[$-409]yyyy\-mm\-dd;@"/>
  </numFmts>
  <fonts count="28">
    <font>
      <sz val="11"/>
      <name val="ＭＳ Ｐゴシック"/>
      <charset val="134"/>
    </font>
    <font>
      <b/>
      <sz val="12"/>
      <name val="ＭＳ 明朝"/>
      <charset val="134"/>
    </font>
    <font>
      <b/>
      <sz val="12"/>
      <color rgb="FFFF0000"/>
      <name val="ＭＳ 明朝"/>
      <charset val="134"/>
    </font>
    <font>
      <sz val="12"/>
      <name val="ＭＳ 明朝"/>
      <charset val="134"/>
    </font>
    <font>
      <sz val="11"/>
      <color rgb="FF000000"/>
      <name val="ＭＳ 明朝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0" fontId="0" fillId="0" borderId="0" applyFont="0" applyFill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6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4" fillId="0" borderId="0"/>
    <xf numFmtId="0" fontId="25" fillId="0" borderId="0" applyNumberFormat="0" applyFill="0" applyBorder="0" applyProtection="0"/>
    <xf numFmtId="0" fontId="24" fillId="0" borderId="0"/>
    <xf numFmtId="0" fontId="26" fillId="0" borderId="0"/>
    <xf numFmtId="0" fontId="27" fillId="0" borderId="0">
      <alignment vertical="center"/>
    </xf>
    <xf numFmtId="0" fontId="0" fillId="0" borderId="0"/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 quotePrefix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2 2" xfId="50"/>
    <cellStyle name="一般 3" xfId="51"/>
    <cellStyle name="一般 4" xfId="52"/>
    <cellStyle name="一般 5" xfId="53"/>
    <cellStyle name="一般 6" xfId="54"/>
    <cellStyle name="一般 7" xfId="55"/>
    <cellStyle name="標準 2" xfId="56"/>
  </cellStyles>
  <tableStyles count="0" defaultTableStyle="TableStyleMedium2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131</xdr:row>
      <xdr:rowOff>351155</xdr:rowOff>
    </xdr:from>
    <xdr:to>
      <xdr:col>7</xdr:col>
      <xdr:colOff>897255</xdr:colOff>
      <xdr:row>131</xdr:row>
      <xdr:rowOff>360680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74755" y="54115970"/>
          <a:ext cx="8972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27"/>
  <sheetViews>
    <sheetView tabSelected="1" workbookViewId="0">
      <selection activeCell="A1" sqref="A1"/>
    </sheetView>
  </sheetViews>
  <sheetFormatPr defaultColWidth="9" defaultRowHeight="12.75"/>
  <cols>
    <col min="1" max="1" width="23.1061946902655" customWidth="1"/>
    <col min="2" max="2" width="23.7699115044248" customWidth="1"/>
    <col min="3" max="3" width="23.5575221238938" customWidth="1"/>
    <col min="4" max="4" width="13.212389380531" customWidth="1"/>
    <col min="5" max="5" width="11.6637168141593" customWidth="1"/>
    <col min="6" max="6" width="16" customWidth="1"/>
    <col min="7" max="7" width="47.212389380531" customWidth="1"/>
    <col min="8" max="8" width="16.5575221238938" customWidth="1"/>
    <col min="9" max="9" width="14.4424778761062" customWidth="1"/>
    <col min="10" max="10" width="35.1061946902655" customWidth="1"/>
    <col min="11" max="11" width="61.1061946902655" customWidth="1"/>
    <col min="12" max="12" width="17.4424778761062" customWidth="1"/>
    <col min="13" max="13" width="19.3362831858407" customWidth="1"/>
    <col min="14" max="14" width="30.1061946902655" customWidth="1"/>
    <col min="15" max="15" width="31" customWidth="1"/>
    <col min="16" max="16" width="12.3362831858407" customWidth="1"/>
    <col min="17" max="17" width="8.88495575221239" customWidth="1"/>
    <col min="18" max="18" width="19.4070796460177" customWidth="1"/>
    <col min="19" max="19" width="19.2566371681416" customWidth="1"/>
    <col min="20" max="20" width="18.6725663716814" customWidth="1"/>
    <col min="21" max="22" width="9" customWidth="1"/>
    <col min="23" max="25" width="8.88495575221239" customWidth="1"/>
  </cols>
  <sheetData>
    <row r="1" ht="33.05" customHeight="1" spans="1: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3" t="s">
        <v>14</v>
      </c>
      <c r="P1" s="5" t="s">
        <v>15</v>
      </c>
      <c r="Q1" s="3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ht="33.05" customHeight="1" spans="1:25">
      <c r="A2" s="6" t="s">
        <v>25</v>
      </c>
      <c r="B2" s="7" t="s">
        <v>25</v>
      </c>
      <c r="C2" s="8">
        <v>45909</v>
      </c>
      <c r="D2" s="6">
        <v>4</v>
      </c>
      <c r="E2" s="6">
        <v>1</v>
      </c>
      <c r="F2" s="9" t="s">
        <v>26</v>
      </c>
      <c r="G2" s="6" t="str">
        <f t="shared" ref="G2:G65" si="0">R2&amp;S2&amp;T2&amp;U2&amp;V2</f>
        <v>東京都港区OMOTESANDO MUSEUM  Tokyo, MinatoCity, Minamiaoyama, 3 Chome−18−19　 FESTA OMOTESADO 2F東京都港区南青山OMOTESANDOMUSEUMTOKYO,MINATOCITY,,3CHOME−18−19　FESTAOMOTESADO2F</v>
      </c>
      <c r="H2" s="6" t="s">
        <v>27</v>
      </c>
      <c r="I2" s="6" t="s">
        <v>28</v>
      </c>
      <c r="J2" s="6"/>
      <c r="K2" s="6" t="str">
        <f t="shared" ref="K2:K65" si="1">W2&amp;X2&amp;Y2</f>
        <v> </v>
      </c>
      <c r="L2" s="6"/>
      <c r="M2" s="6" t="s">
        <v>29</v>
      </c>
      <c r="N2" s="12" t="s">
        <v>30</v>
      </c>
      <c r="O2" s="6" t="s">
        <v>31</v>
      </c>
      <c r="P2" s="6"/>
      <c r="Q2" s="6" t="s">
        <v>25</v>
      </c>
      <c r="R2" s="6" t="s">
        <v>32</v>
      </c>
      <c r="S2" s="6" t="s">
        <v>33</v>
      </c>
      <c r="T2" s="6" t="s">
        <v>34</v>
      </c>
      <c r="U2" s="6" t="s">
        <v>35</v>
      </c>
      <c r="V2" s="6" t="s">
        <v>36</v>
      </c>
      <c r="W2" s="6"/>
      <c r="X2" s="6"/>
      <c r="Y2" s="6" t="s">
        <v>29</v>
      </c>
    </row>
    <row r="3" ht="33.05" customHeight="1" spans="1:25">
      <c r="A3" s="6" t="s">
        <v>37</v>
      </c>
      <c r="B3" s="7" t="s">
        <v>37</v>
      </c>
      <c r="C3" s="8">
        <v>45909</v>
      </c>
      <c r="D3" s="6">
        <v>14</v>
      </c>
      <c r="E3" s="6">
        <v>1</v>
      </c>
      <c r="F3" s="9" t="s">
        <v>26</v>
      </c>
      <c r="G3" s="6" t="str">
        <f t="shared" si="0"/>
        <v>東京都港区OMOTESANDO MUSEUM  Tokyo, MinatoCity,Minamiaoyama, 3Chome−18−19 FESTA OMOTESADO 2F東京都港区南青山OMOTESANDOMUSEUMTOKYO,MINATOCITY,,3CHOME−18−19FESTAOMOTESADO2F</v>
      </c>
      <c r="H3" s="6" t="s">
        <v>27</v>
      </c>
      <c r="I3" s="6" t="s">
        <v>28</v>
      </c>
      <c r="J3" s="6"/>
      <c r="K3" s="6" t="str">
        <f t="shared" si="1"/>
        <v> </v>
      </c>
      <c r="L3" s="6"/>
      <c r="M3" s="6" t="s">
        <v>29</v>
      </c>
      <c r="N3" s="12" t="s">
        <v>30</v>
      </c>
      <c r="O3" s="6" t="s">
        <v>38</v>
      </c>
      <c r="P3" s="6"/>
      <c r="Q3" s="6" t="s">
        <v>37</v>
      </c>
      <c r="R3" s="6" t="s">
        <v>32</v>
      </c>
      <c r="S3" s="6" t="s">
        <v>33</v>
      </c>
      <c r="T3" s="6" t="s">
        <v>34</v>
      </c>
      <c r="U3" s="6" t="s">
        <v>39</v>
      </c>
      <c r="V3" s="6" t="s">
        <v>40</v>
      </c>
      <c r="W3" s="6"/>
      <c r="X3" s="6"/>
      <c r="Y3" s="6" t="s">
        <v>29</v>
      </c>
    </row>
    <row r="4" ht="33.05" customHeight="1" spans="1:25">
      <c r="A4" s="6" t="s">
        <v>41</v>
      </c>
      <c r="B4" s="7" t="s">
        <v>41</v>
      </c>
      <c r="C4" s="8">
        <v>45866</v>
      </c>
      <c r="D4" s="6">
        <v>18</v>
      </c>
      <c r="E4" s="6">
        <v>1</v>
      </c>
      <c r="F4" s="9" t="s">
        <v>42</v>
      </c>
      <c r="G4" s="6" t="str">
        <f t="shared" si="0"/>
        <v>大阪府堺市西区鳳中町4-127-1大阪府堺市西区鳳中町4-127-1</v>
      </c>
      <c r="H4" s="6" t="s">
        <v>43</v>
      </c>
      <c r="I4" s="6" t="s">
        <v>44</v>
      </c>
      <c r="J4" s="6" t="s">
        <v>45</v>
      </c>
      <c r="K4" s="6" t="str">
        <f t="shared" si="1"/>
        <v> 東京都稲城市平尾１－１４－１７</v>
      </c>
      <c r="L4" s="6"/>
      <c r="M4" s="6" t="s">
        <v>46</v>
      </c>
      <c r="N4" s="12" t="s">
        <v>30</v>
      </c>
      <c r="O4" s="6" t="s">
        <v>47</v>
      </c>
      <c r="P4" s="6"/>
      <c r="Q4" s="6" t="s">
        <v>41</v>
      </c>
      <c r="R4" s="6" t="s">
        <v>48</v>
      </c>
      <c r="S4" s="6" t="s">
        <v>49</v>
      </c>
      <c r="T4" s="6" t="s">
        <v>50</v>
      </c>
      <c r="U4" s="6"/>
      <c r="V4" s="6" t="s">
        <v>51</v>
      </c>
      <c r="W4" s="6"/>
      <c r="X4" s="6"/>
      <c r="Y4" s="6" t="s">
        <v>52</v>
      </c>
    </row>
    <row r="5" ht="33.05" customHeight="1" spans="1:25">
      <c r="A5" s="6" t="s">
        <v>53</v>
      </c>
      <c r="B5" s="7" t="s">
        <v>53</v>
      </c>
      <c r="C5" s="8"/>
      <c r="D5" s="6">
        <v>0</v>
      </c>
      <c r="E5" s="6">
        <v>1</v>
      </c>
      <c r="F5" s="9" t="s">
        <v>54</v>
      </c>
      <c r="G5" s="6" t="str">
        <f t="shared" si="0"/>
        <v>広島県広島市中区広瀬北町3-32-202広島県広島市中区広瀬北町3-32-202</v>
      </c>
      <c r="H5" s="6" t="s">
        <v>55</v>
      </c>
      <c r="I5" s="6" t="s">
        <v>56</v>
      </c>
      <c r="J5" s="6" t="s">
        <v>57</v>
      </c>
      <c r="K5" s="6" t="str">
        <f t="shared" si="1"/>
        <v> 中央区内本町2‐3‐8　ダイアパレスビル本町 1006ミズイシテクノロジー</v>
      </c>
      <c r="L5" s="6"/>
      <c r="M5" s="6" t="s">
        <v>58</v>
      </c>
      <c r="N5" s="12" t="s">
        <v>30</v>
      </c>
      <c r="O5" s="6" t="s">
        <v>59</v>
      </c>
      <c r="P5" s="6"/>
      <c r="Q5" s="6" t="s">
        <v>53</v>
      </c>
      <c r="R5" s="6" t="s">
        <v>60</v>
      </c>
      <c r="S5" s="6" t="s">
        <v>61</v>
      </c>
      <c r="T5" s="6" t="s">
        <v>62</v>
      </c>
      <c r="U5" s="6"/>
      <c r="V5" s="6" t="s">
        <v>63</v>
      </c>
      <c r="W5" s="6"/>
      <c r="X5" s="6"/>
      <c r="Y5" s="6" t="s">
        <v>64</v>
      </c>
    </row>
    <row r="6" ht="33.05" customHeight="1" spans="1:25">
      <c r="A6" s="6" t="s">
        <v>65</v>
      </c>
      <c r="B6" s="7" t="s">
        <v>65</v>
      </c>
      <c r="C6" s="8"/>
      <c r="D6" s="6">
        <v>12</v>
      </c>
      <c r="E6" s="6">
        <v>1</v>
      </c>
      <c r="F6" s="9" t="s">
        <v>66</v>
      </c>
      <c r="G6" s="6" t="str">
        <f t="shared" si="0"/>
        <v>茨城県神栖市知手5168-4 城之内アパート16号茨城県神栖市知手5168-4城之内アパート16号</v>
      </c>
      <c r="H6" s="6" t="s">
        <v>67</v>
      </c>
      <c r="I6" s="6" t="s">
        <v>68</v>
      </c>
      <c r="J6" s="6" t="s">
        <v>69</v>
      </c>
      <c r="K6" s="6" t="str">
        <f t="shared" si="1"/>
        <v> 東京都西多摩郡奥多摩町留浦１０１８</v>
      </c>
      <c r="L6" s="6"/>
      <c r="M6" s="6" t="s">
        <v>70</v>
      </c>
      <c r="N6" s="12" t="s">
        <v>30</v>
      </c>
      <c r="O6" s="6" t="s">
        <v>71</v>
      </c>
      <c r="P6" s="6"/>
      <c r="Q6" s="6" t="s">
        <v>65</v>
      </c>
      <c r="R6" s="6" t="s">
        <v>72</v>
      </c>
      <c r="S6" s="6" t="s">
        <v>73</v>
      </c>
      <c r="T6" s="6" t="s">
        <v>74</v>
      </c>
      <c r="U6" s="6"/>
      <c r="V6" s="6" t="s">
        <v>75</v>
      </c>
      <c r="W6" s="6"/>
      <c r="X6" s="6"/>
      <c r="Y6" s="6" t="s">
        <v>76</v>
      </c>
    </row>
    <row r="7" ht="33.05" customHeight="1" spans="1:25">
      <c r="A7" s="6" t="s">
        <v>77</v>
      </c>
      <c r="B7" s="7" t="s">
        <v>77</v>
      </c>
      <c r="C7" s="8">
        <v>45842</v>
      </c>
      <c r="D7" s="6">
        <v>19</v>
      </c>
      <c r="E7" s="6">
        <v>1</v>
      </c>
      <c r="F7" s="9" t="s">
        <v>78</v>
      </c>
      <c r="G7" s="6" t="str">
        <f t="shared" si="0"/>
        <v>神奈川県横浜市瀬谷区中央1-7プランドール横濱601号室神奈川県横浜市瀬谷区中央1-7プランドール横濱601号室</v>
      </c>
      <c r="H7" s="6" t="s">
        <v>79</v>
      </c>
      <c r="I7" s="6" t="s">
        <v>80</v>
      </c>
      <c r="J7" s="6" t="s">
        <v>69</v>
      </c>
      <c r="K7" s="6" t="str">
        <f t="shared" si="1"/>
        <v> 東京都西多摩郡奥多摩町留浦１０１８</v>
      </c>
      <c r="L7" s="6"/>
      <c r="M7" s="6" t="s">
        <v>70</v>
      </c>
      <c r="N7" s="12" t="s">
        <v>30</v>
      </c>
      <c r="O7" s="6" t="s">
        <v>81</v>
      </c>
      <c r="P7" s="6"/>
      <c r="Q7" s="6" t="s">
        <v>77</v>
      </c>
      <c r="R7" s="6" t="s">
        <v>82</v>
      </c>
      <c r="S7" s="6" t="s">
        <v>83</v>
      </c>
      <c r="T7" s="6" t="s">
        <v>84</v>
      </c>
      <c r="U7" s="6"/>
      <c r="V7" s="6" t="s">
        <v>85</v>
      </c>
      <c r="W7" s="6"/>
      <c r="X7" s="6"/>
      <c r="Y7" s="6" t="s">
        <v>76</v>
      </c>
    </row>
    <row r="8" ht="33.05" customHeight="1" spans="1:25">
      <c r="A8" s="6" t="s">
        <v>86</v>
      </c>
      <c r="B8" s="7" t="s">
        <v>86</v>
      </c>
      <c r="C8" s="8"/>
      <c r="D8" s="6">
        <v>18</v>
      </c>
      <c r="E8" s="6">
        <v>1</v>
      </c>
      <c r="F8" s="9" t="s">
        <v>87</v>
      </c>
      <c r="G8" s="6" t="str">
        <f t="shared" si="0"/>
        <v>栃木県那須烏山市大桶581栃木県那須烏山市大桶581</v>
      </c>
      <c r="H8" s="6" t="s">
        <v>88</v>
      </c>
      <c r="I8" s="6" t="s">
        <v>89</v>
      </c>
      <c r="J8" s="6" t="s">
        <v>69</v>
      </c>
      <c r="K8" s="6" t="str">
        <f t="shared" si="1"/>
        <v> 東京都西多摩郡奥多摩町留浦１０１８</v>
      </c>
      <c r="L8" s="6"/>
      <c r="M8" s="6" t="s">
        <v>70</v>
      </c>
      <c r="N8" s="12" t="s">
        <v>30</v>
      </c>
      <c r="O8" s="6" t="s">
        <v>90</v>
      </c>
      <c r="P8" s="6"/>
      <c r="Q8" s="6" t="s">
        <v>86</v>
      </c>
      <c r="R8" s="6" t="s">
        <v>91</v>
      </c>
      <c r="S8" s="6" t="s">
        <v>92</v>
      </c>
      <c r="T8" s="6" t="s">
        <v>93</v>
      </c>
      <c r="U8" s="6"/>
      <c r="V8" s="6" t="s">
        <v>94</v>
      </c>
      <c r="W8" s="6"/>
      <c r="X8" s="6"/>
      <c r="Y8" s="6" t="s">
        <v>76</v>
      </c>
    </row>
    <row r="9" ht="33.05" customHeight="1" spans="1:25">
      <c r="A9" s="6" t="s">
        <v>95</v>
      </c>
      <c r="B9" s="7" t="s">
        <v>95</v>
      </c>
      <c r="C9" s="8"/>
      <c r="D9" s="6">
        <v>19</v>
      </c>
      <c r="E9" s="6">
        <v>1</v>
      </c>
      <c r="F9" s="9" t="s">
        <v>96</v>
      </c>
      <c r="G9" s="6" t="str">
        <f t="shared" si="0"/>
        <v>神奈川県横浜市都筑区大棚西3-1-202神奈川県横浜市都筑区大棚西3-1-202</v>
      </c>
      <c r="H9" s="6" t="s">
        <v>97</v>
      </c>
      <c r="I9" s="6" t="s">
        <v>98</v>
      </c>
      <c r="J9" s="6" t="s">
        <v>99</v>
      </c>
      <c r="K9" s="6" t="str">
        <f t="shared" si="1"/>
        <v> 神奈川県川崎市高津区下作延２－２２－５クレイノアクアパレス２０５</v>
      </c>
      <c r="L9" s="6"/>
      <c r="M9" s="6" t="s">
        <v>100</v>
      </c>
      <c r="N9" s="12" t="s">
        <v>30</v>
      </c>
      <c r="O9" s="6" t="s">
        <v>101</v>
      </c>
      <c r="P9" s="6"/>
      <c r="Q9" s="6" t="s">
        <v>95</v>
      </c>
      <c r="R9" s="6" t="s">
        <v>82</v>
      </c>
      <c r="S9" s="6" t="s">
        <v>102</v>
      </c>
      <c r="T9" s="6" t="s">
        <v>103</v>
      </c>
      <c r="U9" s="6"/>
      <c r="V9" s="6" t="s">
        <v>104</v>
      </c>
      <c r="W9" s="6"/>
      <c r="X9" s="6"/>
      <c r="Y9" s="6" t="s">
        <v>105</v>
      </c>
    </row>
    <row r="10" ht="33.05" customHeight="1" spans="1:25">
      <c r="A10" s="6" t="s">
        <v>106</v>
      </c>
      <c r="B10" s="7" t="s">
        <v>106</v>
      </c>
      <c r="C10" s="8">
        <v>45840</v>
      </c>
      <c r="D10" s="6">
        <v>1</v>
      </c>
      <c r="E10" s="6">
        <v>1</v>
      </c>
      <c r="F10" s="9" t="s">
        <v>107</v>
      </c>
      <c r="G10" s="6" t="str">
        <f t="shared" si="0"/>
        <v>神奈川県横須賀市浦賀2-2-9神奈川県横須賀市浦賀2-2-9</v>
      </c>
      <c r="H10" s="6" t="s">
        <v>108</v>
      </c>
      <c r="I10" s="6" t="s">
        <v>109</v>
      </c>
      <c r="J10" s="6" t="s">
        <v>99</v>
      </c>
      <c r="K10" s="6" t="str">
        <f t="shared" si="1"/>
        <v> 神奈川県川崎市高津区下作延２－２２－５クレイノアクアパレス２０５</v>
      </c>
      <c r="L10" s="6"/>
      <c r="M10" s="6" t="s">
        <v>100</v>
      </c>
      <c r="N10" s="12" t="s">
        <v>30</v>
      </c>
      <c r="O10" s="6" t="s">
        <v>101</v>
      </c>
      <c r="P10" s="6"/>
      <c r="Q10" s="6" t="s">
        <v>106</v>
      </c>
      <c r="R10" s="6" t="s">
        <v>82</v>
      </c>
      <c r="S10" s="6" t="s">
        <v>110</v>
      </c>
      <c r="T10" s="6" t="s">
        <v>111</v>
      </c>
      <c r="U10" s="6"/>
      <c r="V10" s="6" t="s">
        <v>112</v>
      </c>
      <c r="W10" s="6"/>
      <c r="X10" s="6"/>
      <c r="Y10" s="6" t="s">
        <v>105</v>
      </c>
    </row>
    <row r="11" ht="33.05" customHeight="1" spans="1:25">
      <c r="A11" s="6" t="s">
        <v>113</v>
      </c>
      <c r="B11" s="7" t="s">
        <v>113</v>
      </c>
      <c r="C11" s="8"/>
      <c r="D11" s="6">
        <v>12</v>
      </c>
      <c r="E11" s="6">
        <v>1</v>
      </c>
      <c r="F11" s="9" t="s">
        <v>114</v>
      </c>
      <c r="G11" s="6" t="str">
        <f t="shared" si="0"/>
        <v>東京都調布市国領町6-28-8 調布若竹幼稚園東京都調布市国領町6-28-8調布若竹幼稚園</v>
      </c>
      <c r="H11" s="6" t="s">
        <v>115</v>
      </c>
      <c r="I11" s="6" t="s">
        <v>116</v>
      </c>
      <c r="J11" s="6" t="s">
        <v>117</v>
      </c>
      <c r="K11" s="6" t="str">
        <f t="shared" si="1"/>
        <v> 東京都大田区上池台３－２４－１４スターハイツ洗足池２　２０２</v>
      </c>
      <c r="L11" s="6"/>
      <c r="M11" s="6" t="s">
        <v>118</v>
      </c>
      <c r="N11" s="12" t="s">
        <v>30</v>
      </c>
      <c r="O11" s="6" t="s">
        <v>119</v>
      </c>
      <c r="P11" s="6"/>
      <c r="Q11" s="6" t="s">
        <v>113</v>
      </c>
      <c r="R11" s="6" t="s">
        <v>32</v>
      </c>
      <c r="S11" s="6" t="s">
        <v>120</v>
      </c>
      <c r="T11" s="6" t="s">
        <v>121</v>
      </c>
      <c r="U11" s="6"/>
      <c r="V11" s="6" t="s">
        <v>122</v>
      </c>
      <c r="W11" s="6"/>
      <c r="X11" s="6"/>
      <c r="Y11" s="6" t="s">
        <v>123</v>
      </c>
    </row>
    <row r="12" ht="33.05" customHeight="1" spans="1:25">
      <c r="A12" s="6" t="s">
        <v>124</v>
      </c>
      <c r="B12" s="7" t="s">
        <v>124</v>
      </c>
      <c r="C12" s="8">
        <v>45842</v>
      </c>
      <c r="D12" s="6">
        <v>12</v>
      </c>
      <c r="E12" s="6">
        <v>1</v>
      </c>
      <c r="F12" s="9" t="s">
        <v>125</v>
      </c>
      <c r="G12" s="6" t="str">
        <f t="shared" si="0"/>
        <v>神奈川県横浜市青葉区あざみ野1-21-4-207神奈川県横浜市青葉区あざみ野1-21-4-207</v>
      </c>
      <c r="H12" s="6" t="s">
        <v>126</v>
      </c>
      <c r="I12" s="6" t="s">
        <v>127</v>
      </c>
      <c r="J12" s="6" t="s">
        <v>128</v>
      </c>
      <c r="K12" s="6" t="str">
        <f t="shared" si="1"/>
        <v> 東京都品川区平塚1-13-1</v>
      </c>
      <c r="L12" s="6"/>
      <c r="M12" s="6" t="s">
        <v>129</v>
      </c>
      <c r="N12" s="12" t="s">
        <v>30</v>
      </c>
      <c r="O12" s="6" t="s">
        <v>130</v>
      </c>
      <c r="P12" s="6"/>
      <c r="Q12" s="6" t="s">
        <v>124</v>
      </c>
      <c r="R12" s="6" t="s">
        <v>82</v>
      </c>
      <c r="S12" s="6" t="s">
        <v>131</v>
      </c>
      <c r="T12" s="6" t="s">
        <v>132</v>
      </c>
      <c r="U12" s="6"/>
      <c r="V12" s="6" t="s">
        <v>133</v>
      </c>
      <c r="W12" s="6"/>
      <c r="X12" s="6"/>
      <c r="Y12" s="6" t="s">
        <v>134</v>
      </c>
    </row>
    <row r="13" ht="33.05" customHeight="1" spans="1:25">
      <c r="A13" s="6" t="s">
        <v>135</v>
      </c>
      <c r="B13" s="7" t="s">
        <v>135</v>
      </c>
      <c r="C13" s="8">
        <v>45839</v>
      </c>
      <c r="D13" s="6">
        <v>0</v>
      </c>
      <c r="E13" s="6">
        <v>1</v>
      </c>
      <c r="F13" s="9" t="s">
        <v>136</v>
      </c>
      <c r="G13" s="6" t="str">
        <f t="shared" si="0"/>
        <v>東京都港区東新橋2-10-10東新橋ビル2階 株式会社ハイブ東京都港区東新橋2-10-10東新橋ビル2階株式会社ハイブ</v>
      </c>
      <c r="H13" s="6" t="s">
        <v>137</v>
      </c>
      <c r="I13" s="6" t="s">
        <v>138</v>
      </c>
      <c r="J13" s="6" t="s">
        <v>139</v>
      </c>
      <c r="K13" s="6" t="str">
        <f t="shared" si="1"/>
        <v> 西成区北津守４－１３－４３</v>
      </c>
      <c r="L13" s="6"/>
      <c r="M13" s="6" t="s">
        <v>140</v>
      </c>
      <c r="N13" s="12" t="s">
        <v>30</v>
      </c>
      <c r="O13" s="6" t="s">
        <v>141</v>
      </c>
      <c r="P13" s="6"/>
      <c r="Q13" s="6" t="s">
        <v>135</v>
      </c>
      <c r="R13" s="6" t="s">
        <v>32</v>
      </c>
      <c r="S13" s="6" t="s">
        <v>33</v>
      </c>
      <c r="T13" s="6" t="s">
        <v>142</v>
      </c>
      <c r="U13" s="6"/>
      <c r="V13" s="6" t="s">
        <v>143</v>
      </c>
      <c r="W13" s="6"/>
      <c r="X13" s="6"/>
      <c r="Y13" s="6" t="s">
        <v>144</v>
      </c>
    </row>
    <row r="14" ht="33.05" customHeight="1" spans="1:25">
      <c r="A14" s="6" t="s">
        <v>145</v>
      </c>
      <c r="B14" s="7" t="s">
        <v>145</v>
      </c>
      <c r="C14" s="8">
        <v>45840</v>
      </c>
      <c r="D14" s="6">
        <v>0</v>
      </c>
      <c r="E14" s="6">
        <v>1</v>
      </c>
      <c r="F14" s="9" t="s">
        <v>146</v>
      </c>
      <c r="G14" s="6" t="str">
        <f t="shared" si="0"/>
        <v>福岡県北九州市小倉北区砂津2丁目14-7福岡県北九州市小倉北区砂津2丁目14-7</v>
      </c>
      <c r="H14" s="6" t="s">
        <v>147</v>
      </c>
      <c r="I14" s="6" t="s">
        <v>148</v>
      </c>
      <c r="J14" s="6" t="s">
        <v>139</v>
      </c>
      <c r="K14" s="6" t="str">
        <f t="shared" si="1"/>
        <v> 西成区北津守４－１３－４３</v>
      </c>
      <c r="L14" s="6"/>
      <c r="M14" s="6" t="s">
        <v>140</v>
      </c>
      <c r="N14" s="12" t="s">
        <v>30</v>
      </c>
      <c r="O14" s="6" t="s">
        <v>141</v>
      </c>
      <c r="P14" s="6"/>
      <c r="Q14" s="6" t="s">
        <v>145</v>
      </c>
      <c r="R14" s="6" t="s">
        <v>149</v>
      </c>
      <c r="S14" s="6" t="s">
        <v>150</v>
      </c>
      <c r="T14" s="6" t="s">
        <v>151</v>
      </c>
      <c r="U14" s="6"/>
      <c r="V14" s="6" t="s">
        <v>152</v>
      </c>
      <c r="W14" s="6"/>
      <c r="X14" s="6"/>
      <c r="Y14" s="6" t="s">
        <v>144</v>
      </c>
    </row>
    <row r="15" ht="33.05" customHeight="1" spans="1:25">
      <c r="A15" s="6" t="s">
        <v>153</v>
      </c>
      <c r="B15" s="7" t="s">
        <v>153</v>
      </c>
      <c r="C15" s="8">
        <v>45839</v>
      </c>
      <c r="D15" s="6">
        <v>0</v>
      </c>
      <c r="E15" s="6">
        <v>1</v>
      </c>
      <c r="F15" s="9" t="s">
        <v>154</v>
      </c>
      <c r="G15" s="6" t="str">
        <f t="shared" si="0"/>
        <v>福井県福井市河増町31-27-25福井県福井市河増町31-27-25</v>
      </c>
      <c r="H15" s="6" t="s">
        <v>155</v>
      </c>
      <c r="I15" s="6" t="s">
        <v>156</v>
      </c>
      <c r="J15" s="6" t="s">
        <v>157</v>
      </c>
      <c r="K15" s="6" t="str">
        <f t="shared" si="1"/>
        <v> 内本町2‐3‐8</v>
      </c>
      <c r="L15" s="6"/>
      <c r="M15" s="6" t="s">
        <v>158</v>
      </c>
      <c r="N15" s="12" t="s">
        <v>30</v>
      </c>
      <c r="O15" s="6" t="s">
        <v>159</v>
      </c>
      <c r="P15" s="6"/>
      <c r="Q15" s="6" t="s">
        <v>153</v>
      </c>
      <c r="R15" s="6" t="s">
        <v>160</v>
      </c>
      <c r="S15" s="6" t="s">
        <v>161</v>
      </c>
      <c r="T15" s="6" t="s">
        <v>162</v>
      </c>
      <c r="U15" s="6"/>
      <c r="V15" s="6" t="s">
        <v>163</v>
      </c>
      <c r="W15" s="6"/>
      <c r="X15" s="6"/>
      <c r="Y15" s="6" t="s">
        <v>164</v>
      </c>
    </row>
    <row r="16" ht="33.05" customHeight="1" spans="1:25">
      <c r="A16" s="6" t="s">
        <v>165</v>
      </c>
      <c r="B16" s="7" t="s">
        <v>165</v>
      </c>
      <c r="C16" s="8">
        <v>45842</v>
      </c>
      <c r="D16" s="6">
        <v>0</v>
      </c>
      <c r="E16" s="6">
        <v>1</v>
      </c>
      <c r="F16" s="9" t="s">
        <v>166</v>
      </c>
      <c r="G16" s="6" t="str">
        <f t="shared" si="0"/>
        <v>大阪府柏原市平野一丁目11-10-503  配送予定日：2025-07-04(金)大阪府柏原市平野一丁目11-10-503配送予定日：2025-07-04(金)</v>
      </c>
      <c r="H16" s="6" t="s">
        <v>167</v>
      </c>
      <c r="I16" s="6" t="s">
        <v>168</v>
      </c>
      <c r="J16" s="6" t="s">
        <v>169</v>
      </c>
      <c r="K16" s="6" t="str">
        <f t="shared" si="1"/>
        <v> 和歌山県和歌山市西釘貫丁２－５３プレミール石川５０２</v>
      </c>
      <c r="L16" s="6"/>
      <c r="M16" s="6" t="s">
        <v>170</v>
      </c>
      <c r="N16" s="12" t="s">
        <v>30</v>
      </c>
      <c r="O16" s="6" t="s">
        <v>171</v>
      </c>
      <c r="P16" s="6"/>
      <c r="Q16" s="6" t="s">
        <v>165</v>
      </c>
      <c r="R16" s="6" t="s">
        <v>48</v>
      </c>
      <c r="S16" s="6" t="s">
        <v>172</v>
      </c>
      <c r="T16" s="6" t="s">
        <v>173</v>
      </c>
      <c r="U16" s="6"/>
      <c r="V16" s="6" t="s">
        <v>174</v>
      </c>
      <c r="W16" s="6"/>
      <c r="X16" s="6"/>
      <c r="Y16" s="6" t="s">
        <v>175</v>
      </c>
    </row>
    <row r="17" ht="33.05" customHeight="1" spans="1:25">
      <c r="A17" s="6" t="s">
        <v>176</v>
      </c>
      <c r="B17" s="7" t="s">
        <v>176</v>
      </c>
      <c r="C17" s="8">
        <v>45839</v>
      </c>
      <c r="D17" s="6">
        <v>0</v>
      </c>
      <c r="E17" s="6">
        <v>1</v>
      </c>
      <c r="F17" s="9" t="s">
        <v>177</v>
      </c>
      <c r="G17" s="6" t="str">
        <f t="shared" si="0"/>
        <v>千葉県館山市洲崎 1241-1千葉県館山市洲崎1241-1</v>
      </c>
      <c r="H17" s="6" t="s">
        <v>178</v>
      </c>
      <c r="I17" s="6" t="s">
        <v>179</v>
      </c>
      <c r="J17" s="6" t="s">
        <v>180</v>
      </c>
      <c r="K17" s="6" t="str">
        <f t="shared" si="1"/>
        <v> 内本町2‐3‐8</v>
      </c>
      <c r="L17" s="6"/>
      <c r="M17" s="6" t="s">
        <v>158</v>
      </c>
      <c r="N17" s="12" t="s">
        <v>30</v>
      </c>
      <c r="O17" s="6" t="s">
        <v>181</v>
      </c>
      <c r="P17" s="6"/>
      <c r="Q17" s="6" t="s">
        <v>176</v>
      </c>
      <c r="R17" s="6" t="s">
        <v>182</v>
      </c>
      <c r="S17" s="6" t="s">
        <v>183</v>
      </c>
      <c r="T17" s="6" t="s">
        <v>184</v>
      </c>
      <c r="U17" s="6"/>
      <c r="V17" s="6" t="s">
        <v>185</v>
      </c>
      <c r="W17" s="6"/>
      <c r="X17" s="6"/>
      <c r="Y17" s="6" t="s">
        <v>164</v>
      </c>
    </row>
    <row r="18" ht="33.05" customHeight="1" spans="1:25">
      <c r="A18" s="6" t="s">
        <v>186</v>
      </c>
      <c r="B18" s="7" t="s">
        <v>186</v>
      </c>
      <c r="C18" s="8"/>
      <c r="D18" s="6">
        <v>0</v>
      </c>
      <c r="E18" s="6">
        <v>1</v>
      </c>
      <c r="F18" s="9" t="s">
        <v>187</v>
      </c>
      <c r="G18" s="6" t="str">
        <f t="shared" si="0"/>
        <v>三重県津市江戸橋1-82-1三重県津市江戸橋1-82-1</v>
      </c>
      <c r="H18" s="6" t="s">
        <v>188</v>
      </c>
      <c r="I18" s="6" t="s">
        <v>189</v>
      </c>
      <c r="J18" s="6" t="s">
        <v>57</v>
      </c>
      <c r="K18" s="6" t="str">
        <f t="shared" si="1"/>
        <v> 中央区内本町2‐3‐8　ダイアパレスビル本町 1006ミズイシテクノロジー</v>
      </c>
      <c r="L18" s="6"/>
      <c r="M18" s="6" t="s">
        <v>58</v>
      </c>
      <c r="N18" s="12" t="s">
        <v>30</v>
      </c>
      <c r="O18" s="6" t="s">
        <v>190</v>
      </c>
      <c r="P18" s="6"/>
      <c r="Q18" s="6" t="s">
        <v>186</v>
      </c>
      <c r="R18" s="6" t="s">
        <v>191</v>
      </c>
      <c r="S18" s="6" t="s">
        <v>192</v>
      </c>
      <c r="T18" s="6" t="s">
        <v>193</v>
      </c>
      <c r="U18" s="6"/>
      <c r="V18" s="6" t="s">
        <v>194</v>
      </c>
      <c r="W18" s="6"/>
      <c r="X18" s="6"/>
      <c r="Y18" s="6" t="s">
        <v>64</v>
      </c>
    </row>
    <row r="19" ht="33.05" customHeight="1" spans="1:25">
      <c r="A19" s="6" t="s">
        <v>195</v>
      </c>
      <c r="B19" s="7" t="s">
        <v>195</v>
      </c>
      <c r="C19" s="8">
        <v>45839</v>
      </c>
      <c r="D19" s="6">
        <v>0</v>
      </c>
      <c r="E19" s="6">
        <v>1</v>
      </c>
      <c r="F19" s="9" t="s">
        <v>196</v>
      </c>
      <c r="G19" s="6" t="str">
        <f t="shared" si="0"/>
        <v>静岡県静岡市清水区由比町屋原334-40静岡県静岡市清水区由比町屋原334-40</v>
      </c>
      <c r="H19" s="6" t="s">
        <v>197</v>
      </c>
      <c r="I19" s="6" t="s">
        <v>198</v>
      </c>
      <c r="J19" s="6" t="s">
        <v>199</v>
      </c>
      <c r="K19" s="6" t="str">
        <f t="shared" si="1"/>
        <v>兵庫県尼崎市 南塚口町４－２－２０－３０３号</v>
      </c>
      <c r="L19" s="6"/>
      <c r="M19" s="6" t="s">
        <v>200</v>
      </c>
      <c r="N19" s="12" t="s">
        <v>30</v>
      </c>
      <c r="O19" s="6" t="s">
        <v>201</v>
      </c>
      <c r="P19" s="6"/>
      <c r="Q19" s="6" t="s">
        <v>195</v>
      </c>
      <c r="R19" s="6" t="s">
        <v>202</v>
      </c>
      <c r="S19" s="6" t="s">
        <v>203</v>
      </c>
      <c r="T19" s="6" t="s">
        <v>204</v>
      </c>
      <c r="U19" s="6" t="s">
        <v>205</v>
      </c>
      <c r="V19" s="6" t="s">
        <v>206</v>
      </c>
      <c r="W19" s="6" t="s">
        <v>207</v>
      </c>
      <c r="X19" s="6" t="s">
        <v>208</v>
      </c>
      <c r="Y19" s="6" t="s">
        <v>209</v>
      </c>
    </row>
    <row r="20" ht="33.05" customHeight="1" spans="1:25">
      <c r="A20" s="6" t="s">
        <v>210</v>
      </c>
      <c r="B20" s="7" t="s">
        <v>210</v>
      </c>
      <c r="C20" s="8">
        <v>45841</v>
      </c>
      <c r="D20" s="6">
        <v>0</v>
      </c>
      <c r="E20" s="6">
        <v>1</v>
      </c>
      <c r="F20" s="9" t="s">
        <v>211</v>
      </c>
      <c r="G20" s="6" t="str">
        <f t="shared" si="0"/>
        <v>宮城県栗原市築館下宮野宮当52-3宮城県栗原市築館下宮野宮当52-3</v>
      </c>
      <c r="H20" s="6" t="s">
        <v>212</v>
      </c>
      <c r="I20" s="6" t="s">
        <v>213</v>
      </c>
      <c r="J20" s="6" t="s">
        <v>214</v>
      </c>
      <c r="K20" s="6" t="str">
        <f t="shared" si="1"/>
        <v> 山形県山形市上町２－９－５</v>
      </c>
      <c r="L20" s="6"/>
      <c r="M20" s="6" t="s">
        <v>215</v>
      </c>
      <c r="N20" s="12" t="s">
        <v>30</v>
      </c>
      <c r="O20" s="6" t="s">
        <v>216</v>
      </c>
      <c r="P20" s="6"/>
      <c r="Q20" s="6" t="s">
        <v>210</v>
      </c>
      <c r="R20" s="6" t="s">
        <v>217</v>
      </c>
      <c r="S20" s="6" t="s">
        <v>218</v>
      </c>
      <c r="T20" s="6" t="s">
        <v>219</v>
      </c>
      <c r="U20" s="6"/>
      <c r="V20" s="6" t="s">
        <v>220</v>
      </c>
      <c r="W20" s="6"/>
      <c r="X20" s="6"/>
      <c r="Y20" s="6" t="s">
        <v>221</v>
      </c>
    </row>
    <row r="21" ht="33.05" customHeight="1" spans="1:25">
      <c r="A21" s="6" t="s">
        <v>222</v>
      </c>
      <c r="B21" s="7" t="s">
        <v>222</v>
      </c>
      <c r="C21" s="8">
        <v>45840</v>
      </c>
      <c r="D21" s="6">
        <v>0</v>
      </c>
      <c r="E21" s="6">
        <v>1</v>
      </c>
      <c r="F21" s="9" t="s">
        <v>223</v>
      </c>
      <c r="G21" s="6" t="str">
        <f t="shared" si="0"/>
        <v>神奈川県秦野市菩提170-5神奈川県秦野市菩提170-5</v>
      </c>
      <c r="H21" s="6" t="s">
        <v>224</v>
      </c>
      <c r="I21" s="6" t="s">
        <v>225</v>
      </c>
      <c r="J21" s="6" t="s">
        <v>69</v>
      </c>
      <c r="K21" s="6" t="str">
        <f t="shared" si="1"/>
        <v> 東京都西多摩郡奥多摩町留浦１０１８</v>
      </c>
      <c r="L21" s="6"/>
      <c r="M21" s="6" t="s">
        <v>70</v>
      </c>
      <c r="N21" s="12" t="s">
        <v>30</v>
      </c>
      <c r="O21" s="6" t="s">
        <v>226</v>
      </c>
      <c r="P21" s="6"/>
      <c r="Q21" s="6" t="s">
        <v>222</v>
      </c>
      <c r="R21" s="6" t="s">
        <v>82</v>
      </c>
      <c r="S21" s="6" t="s">
        <v>227</v>
      </c>
      <c r="T21" s="6" t="s">
        <v>228</v>
      </c>
      <c r="U21" s="6"/>
      <c r="V21" s="6" t="s">
        <v>229</v>
      </c>
      <c r="W21" s="6"/>
      <c r="X21" s="6"/>
      <c r="Y21" s="6" t="s">
        <v>76</v>
      </c>
    </row>
    <row r="22" ht="33.05" customHeight="1" spans="1:25">
      <c r="A22" s="6" t="s">
        <v>230</v>
      </c>
      <c r="B22" s="7" t="s">
        <v>230</v>
      </c>
      <c r="C22" s="8">
        <v>45839</v>
      </c>
      <c r="D22" s="6">
        <v>1</v>
      </c>
      <c r="E22" s="6">
        <v>1</v>
      </c>
      <c r="F22" s="9" t="s">
        <v>231</v>
      </c>
      <c r="G22" s="6" t="str">
        <f t="shared" si="0"/>
        <v>長野県茅野市宮川1381-2長野県茅野市宮川1381-2</v>
      </c>
      <c r="H22" s="6" t="s">
        <v>232</v>
      </c>
      <c r="I22" s="6" t="s">
        <v>233</v>
      </c>
      <c r="J22" s="6" t="s">
        <v>69</v>
      </c>
      <c r="K22" s="6" t="str">
        <f t="shared" si="1"/>
        <v> 東京都西多摩郡奥多摩町留浦１０１８</v>
      </c>
      <c r="L22" s="6"/>
      <c r="M22" s="6" t="s">
        <v>70</v>
      </c>
      <c r="N22" s="12" t="s">
        <v>30</v>
      </c>
      <c r="O22" s="6" t="s">
        <v>234</v>
      </c>
      <c r="P22" s="6"/>
      <c r="Q22" s="6" t="s">
        <v>230</v>
      </c>
      <c r="R22" s="6" t="s">
        <v>235</v>
      </c>
      <c r="S22" s="6" t="s">
        <v>236</v>
      </c>
      <c r="T22" s="6" t="s">
        <v>237</v>
      </c>
      <c r="U22" s="6"/>
      <c r="V22" s="6" t="s">
        <v>238</v>
      </c>
      <c r="W22" s="6"/>
      <c r="X22" s="6"/>
      <c r="Y22" s="6" t="s">
        <v>76</v>
      </c>
    </row>
    <row r="23" ht="33.05" customHeight="1" spans="1:25">
      <c r="A23" s="6" t="s">
        <v>239</v>
      </c>
      <c r="B23" s="7" t="s">
        <v>239</v>
      </c>
      <c r="C23" s="8"/>
      <c r="D23" s="6">
        <v>0</v>
      </c>
      <c r="E23" s="6">
        <v>1</v>
      </c>
      <c r="F23" s="9" t="s">
        <v>240</v>
      </c>
      <c r="G23" s="6" t="str">
        <f t="shared" si="0"/>
        <v>兵庫県加古川市加古川町稲屋138ー1兵庫県加古川市加古川町稲屋138ー1</v>
      </c>
      <c r="H23" s="6" t="s">
        <v>241</v>
      </c>
      <c r="I23" s="6" t="s">
        <v>242</v>
      </c>
      <c r="J23" s="6" t="s">
        <v>180</v>
      </c>
      <c r="K23" s="6" t="str">
        <f t="shared" si="1"/>
        <v> 内本町2‐3‐8</v>
      </c>
      <c r="L23" s="6"/>
      <c r="M23" s="6" t="s">
        <v>158</v>
      </c>
      <c r="N23" s="12" t="s">
        <v>30</v>
      </c>
      <c r="O23" s="6" t="s">
        <v>243</v>
      </c>
      <c r="P23" s="6"/>
      <c r="Q23" s="6" t="s">
        <v>239</v>
      </c>
      <c r="R23" s="6" t="s">
        <v>207</v>
      </c>
      <c r="S23" s="6" t="s">
        <v>244</v>
      </c>
      <c r="T23" s="6" t="s">
        <v>245</v>
      </c>
      <c r="U23" s="6"/>
      <c r="V23" s="6" t="s">
        <v>246</v>
      </c>
      <c r="W23" s="6"/>
      <c r="X23" s="6"/>
      <c r="Y23" s="6" t="s">
        <v>164</v>
      </c>
    </row>
    <row r="24" ht="33.05" customHeight="1" spans="1:25">
      <c r="A24" s="6" t="s">
        <v>247</v>
      </c>
      <c r="B24" s="7" t="s">
        <v>247</v>
      </c>
      <c r="C24" s="8">
        <v>45843</v>
      </c>
      <c r="D24" s="6">
        <v>14</v>
      </c>
      <c r="E24" s="6">
        <v>1</v>
      </c>
      <c r="F24" s="9" t="s">
        <v>248</v>
      </c>
      <c r="G24" s="6" t="str">
        <f t="shared" si="0"/>
        <v>東京都足立区鹿浜6-21-17プレミール鹿浜302東京都足立区鹿浜6-21-17プレミール鹿浜302</v>
      </c>
      <c r="H24" s="6" t="s">
        <v>249</v>
      </c>
      <c r="I24" s="6" t="s">
        <v>250</v>
      </c>
      <c r="J24" s="6" t="s">
        <v>180</v>
      </c>
      <c r="K24" s="6" t="str">
        <f t="shared" si="1"/>
        <v> 内本町2‐3‐8</v>
      </c>
      <c r="L24" s="6"/>
      <c r="M24" s="6" t="s">
        <v>158</v>
      </c>
      <c r="N24" s="12" t="s">
        <v>30</v>
      </c>
      <c r="O24" s="6" t="s">
        <v>251</v>
      </c>
      <c r="P24" s="6"/>
      <c r="Q24" s="6" t="s">
        <v>247</v>
      </c>
      <c r="R24" s="6" t="s">
        <v>32</v>
      </c>
      <c r="S24" s="6" t="s">
        <v>252</v>
      </c>
      <c r="T24" s="6" t="s">
        <v>253</v>
      </c>
      <c r="U24" s="6"/>
      <c r="V24" s="6" t="s">
        <v>254</v>
      </c>
      <c r="W24" s="6"/>
      <c r="X24" s="6"/>
      <c r="Y24" s="6" t="s">
        <v>164</v>
      </c>
    </row>
    <row r="25" ht="33.05" customHeight="1" spans="1:25">
      <c r="A25" s="6" t="s">
        <v>255</v>
      </c>
      <c r="B25" s="7" t="s">
        <v>255</v>
      </c>
      <c r="C25" s="8">
        <v>45840</v>
      </c>
      <c r="D25" s="6">
        <v>18</v>
      </c>
      <c r="E25" s="6">
        <v>1</v>
      </c>
      <c r="F25" s="9" t="s">
        <v>256</v>
      </c>
      <c r="G25" s="6" t="str">
        <f t="shared" si="0"/>
        <v>大阪府枚方市片鉾東町3-3-2大阪府枚方市片鉾東町3-3-2</v>
      </c>
      <c r="H25" s="6" t="s">
        <v>257</v>
      </c>
      <c r="I25" s="6" t="s">
        <v>258</v>
      </c>
      <c r="J25" s="6" t="s">
        <v>69</v>
      </c>
      <c r="K25" s="6" t="str">
        <f t="shared" si="1"/>
        <v> 東京都西多摩郡奥多摩町留浦１０１８</v>
      </c>
      <c r="L25" s="6"/>
      <c r="M25" s="6" t="s">
        <v>70</v>
      </c>
      <c r="N25" s="12" t="s">
        <v>30</v>
      </c>
      <c r="O25" s="6" t="s">
        <v>81</v>
      </c>
      <c r="P25" s="6"/>
      <c r="Q25" s="6" t="s">
        <v>255</v>
      </c>
      <c r="R25" s="6" t="s">
        <v>48</v>
      </c>
      <c r="S25" s="6" t="s">
        <v>259</v>
      </c>
      <c r="T25" s="6" t="s">
        <v>260</v>
      </c>
      <c r="U25" s="6"/>
      <c r="V25" s="6" t="s">
        <v>261</v>
      </c>
      <c r="W25" s="6"/>
      <c r="X25" s="6"/>
      <c r="Y25" s="6" t="s">
        <v>76</v>
      </c>
    </row>
    <row r="26" ht="33.05" customHeight="1" spans="1:25">
      <c r="A26" s="6" t="s">
        <v>262</v>
      </c>
      <c r="B26" s="7" t="s">
        <v>262</v>
      </c>
      <c r="C26" s="8">
        <v>45839</v>
      </c>
      <c r="D26" s="6">
        <v>19</v>
      </c>
      <c r="E26" s="6">
        <v>1</v>
      </c>
      <c r="F26" s="9" t="s">
        <v>263</v>
      </c>
      <c r="G26" s="6" t="str">
        <f t="shared" si="0"/>
        <v>富山県滑川市常盤町380-1富山県滑川市常盤町380-1</v>
      </c>
      <c r="H26" s="6" t="s">
        <v>264</v>
      </c>
      <c r="I26" s="6" t="s">
        <v>265</v>
      </c>
      <c r="J26" s="6" t="s">
        <v>180</v>
      </c>
      <c r="K26" s="6" t="str">
        <f t="shared" si="1"/>
        <v> 内本町2‐3‐8</v>
      </c>
      <c r="L26" s="6"/>
      <c r="M26" s="6" t="s">
        <v>158</v>
      </c>
      <c r="N26" s="12" t="s">
        <v>30</v>
      </c>
      <c r="O26" s="6" t="s">
        <v>181</v>
      </c>
      <c r="P26" s="6"/>
      <c r="Q26" s="6" t="s">
        <v>262</v>
      </c>
      <c r="R26" s="6" t="s">
        <v>266</v>
      </c>
      <c r="S26" s="6" t="s">
        <v>267</v>
      </c>
      <c r="T26" s="6" t="s">
        <v>268</v>
      </c>
      <c r="U26" s="6"/>
      <c r="V26" s="6" t="s">
        <v>269</v>
      </c>
      <c r="W26" s="6"/>
      <c r="X26" s="6"/>
      <c r="Y26" s="6" t="s">
        <v>164</v>
      </c>
    </row>
    <row r="27" ht="33.05" customHeight="1" spans="1:25">
      <c r="A27" s="6" t="s">
        <v>270</v>
      </c>
      <c r="B27" s="7" t="s">
        <v>270</v>
      </c>
      <c r="C27" s="8">
        <v>45837</v>
      </c>
      <c r="D27" s="6">
        <v>12</v>
      </c>
      <c r="E27" s="6">
        <v>1</v>
      </c>
      <c r="F27" s="9" t="s">
        <v>271</v>
      </c>
      <c r="G27" s="6" t="str">
        <f t="shared" si="0"/>
        <v>山口県山口市三和町16-24(不在の際は洗濯機横宅配ボックスにお願い)山口県山口市三和町16-24(不在の際は洗濯機横宅配ボックスにお願い)</v>
      </c>
      <c r="H27" s="6" t="s">
        <v>272</v>
      </c>
      <c r="I27" s="6" t="s">
        <v>273</v>
      </c>
      <c r="J27" s="6" t="s">
        <v>274</v>
      </c>
      <c r="K27" s="6" t="str">
        <f t="shared" si="1"/>
        <v> 大阪府富田林市平町１－４１０３－１</v>
      </c>
      <c r="L27" s="6"/>
      <c r="M27" s="6" t="s">
        <v>275</v>
      </c>
      <c r="N27" s="12" t="s">
        <v>30</v>
      </c>
      <c r="O27" s="6" t="s">
        <v>276</v>
      </c>
      <c r="P27" s="6"/>
      <c r="Q27" s="6" t="s">
        <v>270</v>
      </c>
      <c r="R27" s="6" t="s">
        <v>277</v>
      </c>
      <c r="S27" s="6" t="s">
        <v>278</v>
      </c>
      <c r="T27" s="6" t="s">
        <v>279</v>
      </c>
      <c r="U27" s="6"/>
      <c r="V27" s="6" t="s">
        <v>280</v>
      </c>
      <c r="W27" s="6"/>
      <c r="X27" s="6"/>
      <c r="Y27" s="6" t="s">
        <v>281</v>
      </c>
    </row>
    <row r="28" ht="33.05" customHeight="1" spans="1:25">
      <c r="A28" s="6" t="s">
        <v>282</v>
      </c>
      <c r="B28" s="7" t="s">
        <v>282</v>
      </c>
      <c r="C28" s="8"/>
      <c r="D28" s="6">
        <v>1</v>
      </c>
      <c r="E28" s="6">
        <v>1</v>
      </c>
      <c r="F28" s="9" t="s">
        <v>283</v>
      </c>
      <c r="G28" s="6" t="str">
        <f t="shared" si="0"/>
        <v>奈良県大和郡山市高田町 59-11奈良県大和郡山市高田町59-11</v>
      </c>
      <c r="H28" s="6" t="s">
        <v>284</v>
      </c>
      <c r="I28" s="6" t="s">
        <v>285</v>
      </c>
      <c r="J28" s="6" t="s">
        <v>180</v>
      </c>
      <c r="K28" s="6" t="str">
        <f t="shared" si="1"/>
        <v> 内本町2‐3‐8</v>
      </c>
      <c r="L28" s="6"/>
      <c r="M28" s="6" t="s">
        <v>158</v>
      </c>
      <c r="N28" s="12" t="s">
        <v>30</v>
      </c>
      <c r="O28" s="6" t="s">
        <v>286</v>
      </c>
      <c r="P28" s="6"/>
      <c r="Q28" s="6" t="s">
        <v>282</v>
      </c>
      <c r="R28" s="6" t="s">
        <v>287</v>
      </c>
      <c r="S28" s="6" t="s">
        <v>288</v>
      </c>
      <c r="T28" s="6" t="s">
        <v>289</v>
      </c>
      <c r="U28" s="6"/>
      <c r="V28" s="6" t="s">
        <v>290</v>
      </c>
      <c r="W28" s="6"/>
      <c r="X28" s="6"/>
      <c r="Y28" s="6" t="s">
        <v>164</v>
      </c>
    </row>
    <row r="29" ht="33.05" customHeight="1" spans="1:25">
      <c r="A29" s="6" t="s">
        <v>291</v>
      </c>
      <c r="B29" s="7" t="s">
        <v>291</v>
      </c>
      <c r="C29" s="8">
        <v>45839</v>
      </c>
      <c r="D29" s="6">
        <v>12</v>
      </c>
      <c r="E29" s="6">
        <v>1</v>
      </c>
      <c r="F29" s="9" t="s">
        <v>292</v>
      </c>
      <c r="G29" s="6" t="str">
        <f t="shared" si="0"/>
        <v>神奈川県川崎市幸区中幸町4-50-3 エムエヌビル4階神奈川県川崎市幸区中幸町4-50-3エムエヌビル4階</v>
      </c>
      <c r="H29" s="6" t="s">
        <v>293</v>
      </c>
      <c r="I29" s="6" t="s">
        <v>294</v>
      </c>
      <c r="J29" s="6" t="s">
        <v>295</v>
      </c>
      <c r="K29" s="6" t="str">
        <f t="shared" si="1"/>
        <v> 神奈川県秦野市戸川４７０－７</v>
      </c>
      <c r="L29" s="6"/>
      <c r="M29" s="6" t="s">
        <v>296</v>
      </c>
      <c r="N29" s="12" t="s">
        <v>30</v>
      </c>
      <c r="O29" s="6" t="s">
        <v>297</v>
      </c>
      <c r="P29" s="6"/>
      <c r="Q29" s="6" t="s">
        <v>291</v>
      </c>
      <c r="R29" s="6" t="s">
        <v>82</v>
      </c>
      <c r="S29" s="6" t="s">
        <v>298</v>
      </c>
      <c r="T29" s="6" t="s">
        <v>299</v>
      </c>
      <c r="U29" s="6"/>
      <c r="V29" s="6" t="s">
        <v>300</v>
      </c>
      <c r="W29" s="6"/>
      <c r="X29" s="6"/>
      <c r="Y29" s="6" t="s">
        <v>301</v>
      </c>
    </row>
    <row r="30" ht="33.05" customHeight="1" spans="1:25">
      <c r="A30" s="6" t="s">
        <v>302</v>
      </c>
      <c r="B30" s="7" t="s">
        <v>302</v>
      </c>
      <c r="C30" s="8">
        <v>45840</v>
      </c>
      <c r="D30" s="6">
        <v>1</v>
      </c>
      <c r="E30" s="6">
        <v>1</v>
      </c>
      <c r="F30" s="9" t="s">
        <v>303</v>
      </c>
      <c r="G30" s="6" t="str">
        <f t="shared" si="0"/>
        <v>静岡県御前崎市池新田4329-1静岡県御前崎市池新田4329-1</v>
      </c>
      <c r="H30" s="6" t="s">
        <v>304</v>
      </c>
      <c r="I30" s="6" t="s">
        <v>305</v>
      </c>
      <c r="J30" s="6" t="s">
        <v>274</v>
      </c>
      <c r="K30" s="6" t="str">
        <f t="shared" si="1"/>
        <v> 大阪府富田林市平町１－４１０３－１</v>
      </c>
      <c r="L30" s="6"/>
      <c r="M30" s="6" t="s">
        <v>275</v>
      </c>
      <c r="N30" s="12" t="s">
        <v>30</v>
      </c>
      <c r="O30" s="6" t="s">
        <v>306</v>
      </c>
      <c r="P30" s="6"/>
      <c r="Q30" s="6" t="s">
        <v>302</v>
      </c>
      <c r="R30" s="6" t="s">
        <v>202</v>
      </c>
      <c r="S30" s="6" t="s">
        <v>307</v>
      </c>
      <c r="T30" s="6" t="s">
        <v>308</v>
      </c>
      <c r="U30" s="6"/>
      <c r="V30" s="6" t="s">
        <v>309</v>
      </c>
      <c r="W30" s="6"/>
      <c r="X30" s="6"/>
      <c r="Y30" s="6" t="s">
        <v>281</v>
      </c>
    </row>
    <row r="31" ht="33.05" customHeight="1" spans="1:25">
      <c r="A31" s="6" t="s">
        <v>310</v>
      </c>
      <c r="B31" s="7" t="s">
        <v>310</v>
      </c>
      <c r="C31" s="8"/>
      <c r="D31" s="6">
        <v>19</v>
      </c>
      <c r="E31" s="6">
        <v>1</v>
      </c>
      <c r="F31" s="9" t="s">
        <v>311</v>
      </c>
      <c r="G31" s="6" t="str">
        <f t="shared" si="0"/>
        <v>大阪府堺市美原区多治井538-1大阪府堺市美原区多治井538-1</v>
      </c>
      <c r="H31" s="6" t="s">
        <v>312</v>
      </c>
      <c r="I31" s="6" t="s">
        <v>313</v>
      </c>
      <c r="J31" s="6" t="s">
        <v>117</v>
      </c>
      <c r="K31" s="6" t="str">
        <f t="shared" si="1"/>
        <v> 東京都大田区上池台３－２４－１４スターハイツ洗足池２　２０２</v>
      </c>
      <c r="L31" s="6"/>
      <c r="M31" s="6" t="s">
        <v>118</v>
      </c>
      <c r="N31" s="12" t="s">
        <v>30</v>
      </c>
      <c r="O31" s="6" t="s">
        <v>314</v>
      </c>
      <c r="P31" s="6"/>
      <c r="Q31" s="6" t="s">
        <v>310</v>
      </c>
      <c r="R31" s="6" t="s">
        <v>48</v>
      </c>
      <c r="S31" s="6" t="s">
        <v>315</v>
      </c>
      <c r="T31" s="6" t="s">
        <v>316</v>
      </c>
      <c r="U31" s="6"/>
      <c r="V31" s="6" t="s">
        <v>317</v>
      </c>
      <c r="W31" s="6"/>
      <c r="X31" s="6"/>
      <c r="Y31" s="6" t="s">
        <v>123</v>
      </c>
    </row>
    <row r="32" ht="33.05" customHeight="1" spans="1:25">
      <c r="A32" s="6" t="s">
        <v>318</v>
      </c>
      <c r="B32" s="7" t="s">
        <v>318</v>
      </c>
      <c r="C32" s="8"/>
      <c r="D32" s="6">
        <v>1</v>
      </c>
      <c r="E32" s="6">
        <v>1</v>
      </c>
      <c r="F32" s="9" t="s">
        <v>319</v>
      </c>
      <c r="G32" s="6" t="str">
        <f t="shared" si="0"/>
        <v>三重県桑名郡木曽岬町和富10-2三重県桑名郡木曽岬町和富10-2</v>
      </c>
      <c r="H32" s="6" t="s">
        <v>320</v>
      </c>
      <c r="I32" s="6" t="s">
        <v>321</v>
      </c>
      <c r="J32" s="6" t="s">
        <v>117</v>
      </c>
      <c r="K32" s="6" t="str">
        <f t="shared" si="1"/>
        <v> 東京都大田区上池台３－２４－１４スターハイツ洗足池２　２０２</v>
      </c>
      <c r="L32" s="6"/>
      <c r="M32" s="6" t="s">
        <v>118</v>
      </c>
      <c r="N32" s="12" t="s">
        <v>30</v>
      </c>
      <c r="O32" s="6" t="s">
        <v>322</v>
      </c>
      <c r="P32" s="6"/>
      <c r="Q32" s="6" t="s">
        <v>318</v>
      </c>
      <c r="R32" s="6" t="s">
        <v>191</v>
      </c>
      <c r="S32" s="6" t="s">
        <v>323</v>
      </c>
      <c r="T32" s="6" t="s">
        <v>324</v>
      </c>
      <c r="U32" s="6"/>
      <c r="V32" s="6" t="s">
        <v>325</v>
      </c>
      <c r="W32" s="6"/>
      <c r="X32" s="6"/>
      <c r="Y32" s="6" t="s">
        <v>123</v>
      </c>
    </row>
    <row r="33" ht="33.05" customHeight="1" spans="1:25">
      <c r="A33" s="6" t="s">
        <v>326</v>
      </c>
      <c r="B33" s="7" t="s">
        <v>326</v>
      </c>
      <c r="C33" s="8">
        <v>45840</v>
      </c>
      <c r="D33" s="6">
        <v>0</v>
      </c>
      <c r="E33" s="6">
        <v>1</v>
      </c>
      <c r="F33" s="9" t="s">
        <v>327</v>
      </c>
      <c r="G33" s="6" t="str">
        <f t="shared" si="0"/>
        <v>北海道札幌市北区北二十五条西7丁目1番3号北KG101号室北海道札幌市北区北二十五条西7丁目1番3号北KG101号室</v>
      </c>
      <c r="H33" s="6" t="s">
        <v>328</v>
      </c>
      <c r="I33" s="6" t="s">
        <v>329</v>
      </c>
      <c r="J33" s="6" t="s">
        <v>180</v>
      </c>
      <c r="K33" s="6" t="str">
        <f t="shared" si="1"/>
        <v> 内本町2‐3‐8</v>
      </c>
      <c r="L33" s="6"/>
      <c r="M33" s="6" t="s">
        <v>158</v>
      </c>
      <c r="N33" s="12" t="s">
        <v>30</v>
      </c>
      <c r="O33" s="6" t="s">
        <v>330</v>
      </c>
      <c r="P33" s="6"/>
      <c r="Q33" s="6" t="s">
        <v>326</v>
      </c>
      <c r="R33" s="6" t="s">
        <v>331</v>
      </c>
      <c r="S33" s="6" t="s">
        <v>332</v>
      </c>
      <c r="T33" s="6" t="s">
        <v>333</v>
      </c>
      <c r="U33" s="6"/>
      <c r="V33" s="6" t="s">
        <v>334</v>
      </c>
      <c r="W33" s="6"/>
      <c r="X33" s="6"/>
      <c r="Y33" s="6" t="s">
        <v>164</v>
      </c>
    </row>
    <row r="34" ht="33.05" customHeight="1" spans="1:25">
      <c r="A34" s="6" t="s">
        <v>335</v>
      </c>
      <c r="B34" s="7" t="s">
        <v>335</v>
      </c>
      <c r="C34" s="8">
        <v>45836</v>
      </c>
      <c r="D34" s="6">
        <v>0</v>
      </c>
      <c r="E34" s="6">
        <v>1</v>
      </c>
      <c r="F34" s="9" t="s">
        <v>336</v>
      </c>
      <c r="G34" s="6" t="str">
        <f t="shared" si="0"/>
        <v>愛知県江南市島宮町吉原116愛知県江南市島宮町吉原116</v>
      </c>
      <c r="H34" s="6" t="s">
        <v>337</v>
      </c>
      <c r="I34" s="6" t="s">
        <v>338</v>
      </c>
      <c r="J34" s="6" t="s">
        <v>339</v>
      </c>
      <c r="K34" s="6" t="str">
        <f t="shared" si="1"/>
        <v> 東京都豊島区池袋2-33-17</v>
      </c>
      <c r="L34" s="6"/>
      <c r="M34" s="6" t="s">
        <v>340</v>
      </c>
      <c r="N34" s="12" t="s">
        <v>30</v>
      </c>
      <c r="O34" s="6" t="s">
        <v>341</v>
      </c>
      <c r="P34" s="6"/>
      <c r="Q34" s="6" t="s">
        <v>335</v>
      </c>
      <c r="R34" s="6" t="s">
        <v>342</v>
      </c>
      <c r="S34" s="6" t="s">
        <v>343</v>
      </c>
      <c r="T34" s="6" t="s">
        <v>344</v>
      </c>
      <c r="U34" s="6"/>
      <c r="V34" s="6" t="s">
        <v>345</v>
      </c>
      <c r="W34" s="6"/>
      <c r="X34" s="6"/>
      <c r="Y34" s="6" t="s">
        <v>346</v>
      </c>
    </row>
    <row r="35" ht="33.05" customHeight="1" spans="1:25">
      <c r="A35" s="6" t="s">
        <v>347</v>
      </c>
      <c r="B35" s="7" t="s">
        <v>347</v>
      </c>
      <c r="C35" s="8">
        <v>45841</v>
      </c>
      <c r="D35" s="6">
        <v>0</v>
      </c>
      <c r="E35" s="6">
        <v>1</v>
      </c>
      <c r="F35" s="9" t="s">
        <v>348</v>
      </c>
      <c r="G35" s="6" t="str">
        <f t="shared" si="0"/>
        <v>大阪府大阪市都島区善源寺町2-5-20-804  配送予定日：2025-07-03(木)大阪府大阪市都島区善源寺町2-5-20-804配送予定日：2025-07-03(木)</v>
      </c>
      <c r="H35" s="6" t="s">
        <v>349</v>
      </c>
      <c r="I35" s="6" t="s">
        <v>350</v>
      </c>
      <c r="J35" s="6" t="s">
        <v>351</v>
      </c>
      <c r="K35" s="6" t="str">
        <f t="shared" si="1"/>
        <v> 大阪府大阪市浪速区日本橋５－１３－９－２０２</v>
      </c>
      <c r="L35" s="6"/>
      <c r="M35" s="6" t="s">
        <v>352</v>
      </c>
      <c r="N35" s="12" t="s">
        <v>30</v>
      </c>
      <c r="O35" s="6" t="s">
        <v>353</v>
      </c>
      <c r="P35" s="6"/>
      <c r="Q35" s="6" t="s">
        <v>347</v>
      </c>
      <c r="R35" s="6" t="s">
        <v>48</v>
      </c>
      <c r="S35" s="6" t="s">
        <v>354</v>
      </c>
      <c r="T35" s="6" t="s">
        <v>355</v>
      </c>
      <c r="U35" s="6"/>
      <c r="V35" s="6" t="s">
        <v>356</v>
      </c>
      <c r="W35" s="6"/>
      <c r="X35" s="6"/>
      <c r="Y35" s="6" t="s">
        <v>357</v>
      </c>
    </row>
    <row r="36" ht="33.05" customHeight="1" spans="1:25">
      <c r="A36" s="6" t="s">
        <v>358</v>
      </c>
      <c r="B36" s="7" t="s">
        <v>358</v>
      </c>
      <c r="C36" s="8">
        <v>45838</v>
      </c>
      <c r="D36" s="6">
        <v>12</v>
      </c>
      <c r="E36" s="6">
        <v>1</v>
      </c>
      <c r="F36" s="9" t="s">
        <v>359</v>
      </c>
      <c r="G36" s="6" t="str">
        <f t="shared" si="0"/>
        <v>神奈川県横浜市緑区いぶき野57-2 株式会社エンクリエイション神奈川県横浜市緑区いぶき野57-2株式会社エンクリエイション</v>
      </c>
      <c r="H36" s="6" t="s">
        <v>360</v>
      </c>
      <c r="I36" s="6" t="s">
        <v>361</v>
      </c>
      <c r="J36" s="6" t="s">
        <v>180</v>
      </c>
      <c r="K36" s="6" t="str">
        <f t="shared" si="1"/>
        <v> 内本町2‐3‐8</v>
      </c>
      <c r="L36" s="6"/>
      <c r="M36" s="6" t="s">
        <v>158</v>
      </c>
      <c r="N36" s="12" t="s">
        <v>30</v>
      </c>
      <c r="O36" s="6" t="s">
        <v>362</v>
      </c>
      <c r="P36" s="6"/>
      <c r="Q36" s="6" t="s">
        <v>358</v>
      </c>
      <c r="R36" s="6" t="s">
        <v>82</v>
      </c>
      <c r="S36" s="6" t="s">
        <v>363</v>
      </c>
      <c r="T36" s="6" t="s">
        <v>364</v>
      </c>
      <c r="U36" s="6"/>
      <c r="V36" s="6" t="s">
        <v>365</v>
      </c>
      <c r="W36" s="6"/>
      <c r="X36" s="6"/>
      <c r="Y36" s="6" t="s">
        <v>164</v>
      </c>
    </row>
    <row r="37" ht="33.05" customHeight="1" spans="1:25">
      <c r="A37" s="6" t="s">
        <v>366</v>
      </c>
      <c r="B37" s="7" t="s">
        <v>366</v>
      </c>
      <c r="C37" s="8">
        <v>45840</v>
      </c>
      <c r="D37" s="6">
        <v>1</v>
      </c>
      <c r="E37" s="6">
        <v>1</v>
      </c>
      <c r="F37" s="9" t="s">
        <v>367</v>
      </c>
      <c r="G37" s="6" t="str">
        <f t="shared" si="0"/>
        <v>高知県四万十市具同8724-9高知県四万十市具同8724-9</v>
      </c>
      <c r="H37" s="6" t="s">
        <v>368</v>
      </c>
      <c r="I37" s="6" t="s">
        <v>369</v>
      </c>
      <c r="J37" s="6" t="s">
        <v>157</v>
      </c>
      <c r="K37" s="6" t="str">
        <f t="shared" si="1"/>
        <v> 内本町2‐3‐8</v>
      </c>
      <c r="L37" s="6"/>
      <c r="M37" s="6" t="s">
        <v>158</v>
      </c>
      <c r="N37" s="12" t="s">
        <v>30</v>
      </c>
      <c r="O37" s="6" t="s">
        <v>370</v>
      </c>
      <c r="P37" s="6"/>
      <c r="Q37" s="6" t="s">
        <v>366</v>
      </c>
      <c r="R37" s="6" t="s">
        <v>371</v>
      </c>
      <c r="S37" s="6" t="s">
        <v>372</v>
      </c>
      <c r="T37" s="6" t="s">
        <v>373</v>
      </c>
      <c r="U37" s="6"/>
      <c r="V37" s="6" t="s">
        <v>374</v>
      </c>
      <c r="W37" s="6"/>
      <c r="X37" s="6"/>
      <c r="Y37" s="6" t="s">
        <v>164</v>
      </c>
    </row>
    <row r="38" ht="33.05" customHeight="1" spans="1:25">
      <c r="A38" s="6" t="s">
        <v>375</v>
      </c>
      <c r="B38" s="7" t="s">
        <v>375</v>
      </c>
      <c r="C38" s="8"/>
      <c r="D38" s="6">
        <v>0</v>
      </c>
      <c r="E38" s="6">
        <v>1</v>
      </c>
      <c r="F38" s="9" t="s">
        <v>376</v>
      </c>
      <c r="G38" s="6" t="str">
        <f t="shared" si="0"/>
        <v>北海道滝川市西町8丁目4ー35 プランドール102号室北海道滝川市西町8丁目4ー35プランドール102号室</v>
      </c>
      <c r="H38" s="6" t="s">
        <v>377</v>
      </c>
      <c r="I38" s="6" t="s">
        <v>378</v>
      </c>
      <c r="J38" s="6" t="s">
        <v>180</v>
      </c>
      <c r="K38" s="6" t="str">
        <f t="shared" si="1"/>
        <v> 内本町2‐3‐8</v>
      </c>
      <c r="L38" s="6"/>
      <c r="M38" s="6" t="s">
        <v>158</v>
      </c>
      <c r="N38" s="12" t="s">
        <v>30</v>
      </c>
      <c r="O38" s="6" t="s">
        <v>379</v>
      </c>
      <c r="P38" s="6"/>
      <c r="Q38" s="6" t="s">
        <v>375</v>
      </c>
      <c r="R38" s="6" t="s">
        <v>331</v>
      </c>
      <c r="S38" s="6" t="s">
        <v>380</v>
      </c>
      <c r="T38" s="6" t="s">
        <v>381</v>
      </c>
      <c r="U38" s="6"/>
      <c r="V38" s="6" t="s">
        <v>382</v>
      </c>
      <c r="W38" s="6"/>
      <c r="X38" s="6"/>
      <c r="Y38" s="6" t="s">
        <v>164</v>
      </c>
    </row>
    <row r="39" ht="33.05" customHeight="1" spans="1:25">
      <c r="A39" s="6" t="s">
        <v>383</v>
      </c>
      <c r="B39" s="7" t="s">
        <v>383</v>
      </c>
      <c r="C39" s="8">
        <v>45834</v>
      </c>
      <c r="D39" s="6">
        <v>1</v>
      </c>
      <c r="E39" s="6">
        <v>1</v>
      </c>
      <c r="F39" s="9" t="s">
        <v>384</v>
      </c>
      <c r="G39" s="6" t="str">
        <f t="shared" si="0"/>
        <v>香川県高松市鬼無町藤井211-2</v>
      </c>
      <c r="H39" s="6" t="s">
        <v>385</v>
      </c>
      <c r="I39" s="6" t="s">
        <v>386</v>
      </c>
      <c r="J39" s="6" t="s">
        <v>99</v>
      </c>
      <c r="K39" s="6" t="str">
        <f t="shared" si="1"/>
        <v> 神奈川県川崎市高津区下作延２－２２－５クレイノアクアパレス２０５</v>
      </c>
      <c r="L39" s="6"/>
      <c r="M39" s="6" t="s">
        <v>100</v>
      </c>
      <c r="N39" s="12" t="s">
        <v>30</v>
      </c>
      <c r="O39" s="6" t="s">
        <v>387</v>
      </c>
      <c r="P39" s="6"/>
      <c r="Q39" s="6" t="s">
        <v>383</v>
      </c>
      <c r="R39" s="6" t="s">
        <v>388</v>
      </c>
      <c r="S39" s="6" t="s">
        <v>389</v>
      </c>
      <c r="T39" s="6" t="s">
        <v>390</v>
      </c>
      <c r="U39" s="6"/>
      <c r="V39" s="6"/>
      <c r="W39" s="6"/>
      <c r="X39" s="6"/>
      <c r="Y39" s="6" t="s">
        <v>105</v>
      </c>
    </row>
    <row r="40" ht="33.05" customHeight="1" spans="1:25">
      <c r="A40" s="6" t="s">
        <v>391</v>
      </c>
      <c r="B40" s="7" t="s">
        <v>391</v>
      </c>
      <c r="C40" s="8">
        <v>45843</v>
      </c>
      <c r="D40" s="6">
        <v>0</v>
      </c>
      <c r="E40" s="6">
        <v>1</v>
      </c>
      <c r="F40" s="9" t="s">
        <v>392</v>
      </c>
      <c r="G40" s="6" t="str">
        <f t="shared" si="0"/>
        <v>長崎県長崎市女の都2-37-8長崎県長崎市女の都2-37-8</v>
      </c>
      <c r="H40" s="6" t="s">
        <v>393</v>
      </c>
      <c r="I40" s="6" t="s">
        <v>394</v>
      </c>
      <c r="J40" s="6" t="s">
        <v>395</v>
      </c>
      <c r="K40" s="6" t="str">
        <f t="shared" si="1"/>
        <v> 上野芝町2－5－1－５０７</v>
      </c>
      <c r="L40" s="6"/>
      <c r="M40" s="6" t="s">
        <v>396</v>
      </c>
      <c r="N40" s="12" t="s">
        <v>30</v>
      </c>
      <c r="O40" s="6" t="s">
        <v>171</v>
      </c>
      <c r="P40" s="6"/>
      <c r="Q40" s="6" t="s">
        <v>391</v>
      </c>
      <c r="R40" s="6" t="s">
        <v>397</v>
      </c>
      <c r="S40" s="6" t="s">
        <v>398</v>
      </c>
      <c r="T40" s="6" t="s">
        <v>399</v>
      </c>
      <c r="U40" s="6"/>
      <c r="V40" s="6" t="s">
        <v>400</v>
      </c>
      <c r="W40" s="6"/>
      <c r="X40" s="6"/>
      <c r="Y40" s="6" t="s">
        <v>401</v>
      </c>
    </row>
    <row r="41" ht="33.05" customHeight="1" spans="1:25">
      <c r="A41" s="6" t="s">
        <v>402</v>
      </c>
      <c r="B41" s="7" t="s">
        <v>402</v>
      </c>
      <c r="C41" s="8">
        <v>45842</v>
      </c>
      <c r="D41" s="6">
        <v>0</v>
      </c>
      <c r="E41" s="6">
        <v>1</v>
      </c>
      <c r="F41" s="9" t="s">
        <v>403</v>
      </c>
      <c r="G41" s="6" t="str">
        <f t="shared" si="0"/>
        <v>北海道室蘭市知利別町2丁目33-11北海道室蘭市知利別町2丁目33-11</v>
      </c>
      <c r="H41" s="6" t="s">
        <v>404</v>
      </c>
      <c r="I41" s="6" t="s">
        <v>405</v>
      </c>
      <c r="J41" s="6" t="s">
        <v>395</v>
      </c>
      <c r="K41" s="6" t="str">
        <f t="shared" si="1"/>
        <v> 上野芝町2－5－1－５０７</v>
      </c>
      <c r="L41" s="6"/>
      <c r="M41" s="6" t="s">
        <v>396</v>
      </c>
      <c r="N41" s="12" t="s">
        <v>30</v>
      </c>
      <c r="O41" s="6" t="s">
        <v>171</v>
      </c>
      <c r="P41" s="6"/>
      <c r="Q41" s="6" t="s">
        <v>402</v>
      </c>
      <c r="R41" s="6" t="s">
        <v>331</v>
      </c>
      <c r="S41" s="6" t="s">
        <v>406</v>
      </c>
      <c r="T41" s="6" t="s">
        <v>407</v>
      </c>
      <c r="U41" s="6"/>
      <c r="V41" s="6" t="s">
        <v>408</v>
      </c>
      <c r="W41" s="6"/>
      <c r="X41" s="6"/>
      <c r="Y41" s="6" t="s">
        <v>401</v>
      </c>
    </row>
    <row r="42" ht="33.05" customHeight="1" spans="1:25">
      <c r="A42" s="6" t="s">
        <v>409</v>
      </c>
      <c r="B42" s="7" t="s">
        <v>409</v>
      </c>
      <c r="C42" s="8">
        <v>45851</v>
      </c>
      <c r="D42" s="6">
        <v>16</v>
      </c>
      <c r="E42" s="6">
        <v>1</v>
      </c>
      <c r="F42" s="9" t="s">
        <v>410</v>
      </c>
      <c r="G42" s="6" t="str">
        <f t="shared" si="0"/>
        <v>大分県大分市大手町3丁目3-29 クレイン大手町603大分県大分市大手町3丁目3-29クレイン大手町603</v>
      </c>
      <c r="H42" s="6" t="s">
        <v>411</v>
      </c>
      <c r="I42" s="6" t="s">
        <v>412</v>
      </c>
      <c r="J42" s="6" t="s">
        <v>180</v>
      </c>
      <c r="K42" s="6" t="str">
        <f t="shared" si="1"/>
        <v> 内本町2‐3‐8</v>
      </c>
      <c r="L42" s="6"/>
      <c r="M42" s="6" t="s">
        <v>158</v>
      </c>
      <c r="N42" s="12" t="s">
        <v>30</v>
      </c>
      <c r="O42" s="6" t="s">
        <v>413</v>
      </c>
      <c r="P42" s="6"/>
      <c r="Q42" s="6" t="s">
        <v>409</v>
      </c>
      <c r="R42" s="6" t="s">
        <v>414</v>
      </c>
      <c r="S42" s="6" t="s">
        <v>415</v>
      </c>
      <c r="T42" s="6" t="s">
        <v>416</v>
      </c>
      <c r="U42" s="6"/>
      <c r="V42" s="6" t="s">
        <v>417</v>
      </c>
      <c r="W42" s="6"/>
      <c r="X42" s="6"/>
      <c r="Y42" s="6" t="s">
        <v>164</v>
      </c>
    </row>
    <row r="43" ht="33.05" customHeight="1" spans="1:25">
      <c r="A43" s="6" t="s">
        <v>418</v>
      </c>
      <c r="B43" s="7" t="s">
        <v>418</v>
      </c>
      <c r="C43" s="8"/>
      <c r="D43" s="6">
        <v>19</v>
      </c>
      <c r="E43" s="6">
        <v>1</v>
      </c>
      <c r="F43" s="9" t="s">
        <v>419</v>
      </c>
      <c r="G43" s="6" t="str">
        <f t="shared" si="0"/>
        <v>愛知県豊田市若林東町石根30-67愛知県豊田市若林東町石根30-67</v>
      </c>
      <c r="H43" s="6" t="s">
        <v>420</v>
      </c>
      <c r="I43" s="6" t="s">
        <v>421</v>
      </c>
      <c r="J43" s="6" t="s">
        <v>214</v>
      </c>
      <c r="K43" s="6" t="str">
        <f t="shared" si="1"/>
        <v> 山形県山形市上町２－９－５</v>
      </c>
      <c r="L43" s="6"/>
      <c r="M43" s="6" t="s">
        <v>215</v>
      </c>
      <c r="N43" s="12" t="s">
        <v>30</v>
      </c>
      <c r="O43" s="6" t="s">
        <v>422</v>
      </c>
      <c r="P43" s="6"/>
      <c r="Q43" s="6" t="s">
        <v>418</v>
      </c>
      <c r="R43" s="6" t="s">
        <v>342</v>
      </c>
      <c r="S43" s="6" t="s">
        <v>423</v>
      </c>
      <c r="T43" s="6" t="s">
        <v>424</v>
      </c>
      <c r="U43" s="6"/>
      <c r="V43" s="6" t="s">
        <v>425</v>
      </c>
      <c r="W43" s="6"/>
      <c r="X43" s="6"/>
      <c r="Y43" s="6" t="s">
        <v>221</v>
      </c>
    </row>
    <row r="44" ht="33.05" customHeight="1" spans="1:25">
      <c r="A44" s="6" t="s">
        <v>426</v>
      </c>
      <c r="B44" s="7" t="s">
        <v>426</v>
      </c>
      <c r="C44" s="8">
        <v>45839</v>
      </c>
      <c r="D44" s="6">
        <v>18</v>
      </c>
      <c r="E44" s="6">
        <v>1</v>
      </c>
      <c r="F44" s="9" t="s">
        <v>427</v>
      </c>
      <c r="G44" s="6" t="str">
        <f t="shared" si="0"/>
        <v>大阪府大阪市港区弁天2-1-21第20柴田マンション1104号大阪府大阪市港区弁天2-1-21第20柴田マンション1104号</v>
      </c>
      <c r="H44" s="6" t="s">
        <v>428</v>
      </c>
      <c r="I44" s="6" t="s">
        <v>429</v>
      </c>
      <c r="J44" s="6" t="s">
        <v>99</v>
      </c>
      <c r="K44" s="6" t="str">
        <f t="shared" si="1"/>
        <v> 神奈川県川崎市高津区下作延２－２２－５クレイノアクアパレス２０５</v>
      </c>
      <c r="L44" s="6"/>
      <c r="M44" s="6" t="s">
        <v>100</v>
      </c>
      <c r="N44" s="12" t="s">
        <v>30</v>
      </c>
      <c r="O44" s="6" t="s">
        <v>430</v>
      </c>
      <c r="P44" s="6"/>
      <c r="Q44" s="6" t="s">
        <v>426</v>
      </c>
      <c r="R44" s="6" t="s">
        <v>48</v>
      </c>
      <c r="S44" s="6" t="s">
        <v>431</v>
      </c>
      <c r="T44" s="6" t="s">
        <v>432</v>
      </c>
      <c r="U44" s="6"/>
      <c r="V44" s="6" t="s">
        <v>433</v>
      </c>
      <c r="W44" s="6"/>
      <c r="X44" s="6"/>
      <c r="Y44" s="6" t="s">
        <v>105</v>
      </c>
    </row>
    <row r="45" ht="33.05" customHeight="1" spans="1:25">
      <c r="A45" s="6" t="s">
        <v>434</v>
      </c>
      <c r="B45" s="7" t="s">
        <v>434</v>
      </c>
      <c r="C45" s="8">
        <v>45843</v>
      </c>
      <c r="D45" s="6">
        <v>1</v>
      </c>
      <c r="E45" s="6">
        <v>1</v>
      </c>
      <c r="F45" s="9" t="s">
        <v>435</v>
      </c>
      <c r="G45" s="6" t="str">
        <f t="shared" si="0"/>
        <v>岡山県倉敷市児島田の口2-11-7岡山県倉敷市児島田の口2-11-7</v>
      </c>
      <c r="H45" s="6" t="s">
        <v>436</v>
      </c>
      <c r="I45" s="6" t="s">
        <v>437</v>
      </c>
      <c r="J45" s="6" t="s">
        <v>214</v>
      </c>
      <c r="K45" s="6" t="str">
        <f t="shared" si="1"/>
        <v> 山形県山形市上町２－９－５</v>
      </c>
      <c r="L45" s="6"/>
      <c r="M45" s="6" t="s">
        <v>215</v>
      </c>
      <c r="N45" s="12" t="s">
        <v>30</v>
      </c>
      <c r="O45" s="6" t="s">
        <v>422</v>
      </c>
      <c r="P45" s="6"/>
      <c r="Q45" s="6" t="s">
        <v>434</v>
      </c>
      <c r="R45" s="6" t="s">
        <v>438</v>
      </c>
      <c r="S45" s="6" t="s">
        <v>439</v>
      </c>
      <c r="T45" s="6" t="s">
        <v>440</v>
      </c>
      <c r="U45" s="6"/>
      <c r="V45" s="6" t="s">
        <v>441</v>
      </c>
      <c r="W45" s="6"/>
      <c r="X45" s="6"/>
      <c r="Y45" s="6" t="s">
        <v>221</v>
      </c>
    </row>
    <row r="46" ht="33.05" customHeight="1" spans="1:25">
      <c r="A46" s="6" t="s">
        <v>442</v>
      </c>
      <c r="B46" s="7" t="s">
        <v>442</v>
      </c>
      <c r="C46" s="8">
        <v>45838</v>
      </c>
      <c r="D46" s="6">
        <v>14</v>
      </c>
      <c r="E46" s="6">
        <v>1</v>
      </c>
      <c r="F46" s="9" t="s">
        <v>443</v>
      </c>
      <c r="G46" s="6" t="str">
        <f t="shared" si="0"/>
        <v>鳥取県鳥取市古市615サンライズ甚九302（玄関前に置配でお願いします）鳥取県鳥取市古市615サンライズ甚九302（玄関前に置配でお願いします）</v>
      </c>
      <c r="H46" s="6" t="s">
        <v>444</v>
      </c>
      <c r="I46" s="6" t="s">
        <v>445</v>
      </c>
      <c r="J46" s="6" t="s">
        <v>139</v>
      </c>
      <c r="K46" s="6" t="str">
        <f t="shared" si="1"/>
        <v> 西成区北津守４－１３－４３</v>
      </c>
      <c r="L46" s="6"/>
      <c r="M46" s="6" t="s">
        <v>140</v>
      </c>
      <c r="N46" s="12" t="s">
        <v>30</v>
      </c>
      <c r="O46" s="6" t="s">
        <v>446</v>
      </c>
      <c r="P46" s="6"/>
      <c r="Q46" s="6" t="s">
        <v>442</v>
      </c>
      <c r="R46" s="6" t="s">
        <v>447</v>
      </c>
      <c r="S46" s="6" t="s">
        <v>448</v>
      </c>
      <c r="T46" s="6" t="s">
        <v>449</v>
      </c>
      <c r="U46" s="6"/>
      <c r="V46" s="6" t="s">
        <v>450</v>
      </c>
      <c r="W46" s="6"/>
      <c r="X46" s="6"/>
      <c r="Y46" s="6" t="s">
        <v>144</v>
      </c>
    </row>
    <row r="47" ht="33.05" customHeight="1" spans="1:25">
      <c r="A47" s="6" t="s">
        <v>451</v>
      </c>
      <c r="B47" s="7" t="s">
        <v>451</v>
      </c>
      <c r="C47" s="8">
        <v>45838</v>
      </c>
      <c r="D47" s="6">
        <v>1</v>
      </c>
      <c r="E47" s="6">
        <v>1</v>
      </c>
      <c r="F47" s="9" t="s">
        <v>452</v>
      </c>
      <c r="G47" s="6" t="str">
        <f t="shared" si="0"/>
        <v>愛知県豊田市若林西町向屋敷46-1バンベール若林1008愛知県豊田市若林西町向屋敷46-1バンベール若林1008</v>
      </c>
      <c r="H47" s="6" t="s">
        <v>453</v>
      </c>
      <c r="I47" s="6" t="s">
        <v>454</v>
      </c>
      <c r="J47" s="6" t="s">
        <v>99</v>
      </c>
      <c r="K47" s="6" t="str">
        <f t="shared" si="1"/>
        <v> 神奈川県川崎市高津区下作延２－２２－５クレイノアクアパレス２０５</v>
      </c>
      <c r="L47" s="6"/>
      <c r="M47" s="6" t="s">
        <v>100</v>
      </c>
      <c r="N47" s="12" t="s">
        <v>30</v>
      </c>
      <c r="O47" s="6" t="s">
        <v>455</v>
      </c>
      <c r="P47" s="6"/>
      <c r="Q47" s="6" t="s">
        <v>451</v>
      </c>
      <c r="R47" s="6" t="s">
        <v>342</v>
      </c>
      <c r="S47" s="6" t="s">
        <v>423</v>
      </c>
      <c r="T47" s="6" t="s">
        <v>456</v>
      </c>
      <c r="U47" s="6"/>
      <c r="V47" s="6" t="s">
        <v>457</v>
      </c>
      <c r="W47" s="6"/>
      <c r="X47" s="6"/>
      <c r="Y47" s="6" t="s">
        <v>105</v>
      </c>
    </row>
    <row r="48" ht="33.05" customHeight="1" spans="1:25">
      <c r="A48" s="6" t="s">
        <v>458</v>
      </c>
      <c r="B48" s="7" t="s">
        <v>458</v>
      </c>
      <c r="C48" s="8"/>
      <c r="D48" s="6">
        <v>19</v>
      </c>
      <c r="E48" s="6">
        <v>1</v>
      </c>
      <c r="F48" s="9" t="s">
        <v>459</v>
      </c>
      <c r="G48" s="6" t="str">
        <f t="shared" si="0"/>
        <v>神奈川県厚木市中町2-7-19壱番館ビル2F神奈川県厚木市中町2-7-19壱番館ビル2F</v>
      </c>
      <c r="H48" s="6" t="s">
        <v>460</v>
      </c>
      <c r="I48" s="6" t="s">
        <v>461</v>
      </c>
      <c r="J48" s="6" t="s">
        <v>274</v>
      </c>
      <c r="K48" s="6" t="str">
        <f t="shared" si="1"/>
        <v> 大阪府富田林市平町１－４１０３－１</v>
      </c>
      <c r="L48" s="6"/>
      <c r="M48" s="6" t="s">
        <v>275</v>
      </c>
      <c r="N48" s="12" t="s">
        <v>30</v>
      </c>
      <c r="O48" s="6" t="s">
        <v>462</v>
      </c>
      <c r="P48" s="6"/>
      <c r="Q48" s="6" t="s">
        <v>458</v>
      </c>
      <c r="R48" s="6" t="s">
        <v>82</v>
      </c>
      <c r="S48" s="6" t="s">
        <v>463</v>
      </c>
      <c r="T48" s="6" t="s">
        <v>464</v>
      </c>
      <c r="U48" s="6"/>
      <c r="V48" s="6" t="s">
        <v>465</v>
      </c>
      <c r="W48" s="6"/>
      <c r="X48" s="6"/>
      <c r="Y48" s="6" t="s">
        <v>281</v>
      </c>
    </row>
    <row r="49" ht="33.05" customHeight="1" spans="1:25">
      <c r="A49" s="6" t="s">
        <v>466</v>
      </c>
      <c r="B49" s="7" t="s">
        <v>466</v>
      </c>
      <c r="C49" s="8">
        <v>45840</v>
      </c>
      <c r="D49" s="6">
        <v>1</v>
      </c>
      <c r="E49" s="6">
        <v>1</v>
      </c>
      <c r="F49" s="9" t="s">
        <v>467</v>
      </c>
      <c r="G49" s="6" t="str">
        <f t="shared" si="0"/>
        <v>愛知県知立市上重原町島間55-3愛知県知立市上重原町島間55-3</v>
      </c>
      <c r="H49" s="6" t="s">
        <v>468</v>
      </c>
      <c r="I49" s="6" t="s">
        <v>469</v>
      </c>
      <c r="J49" s="6" t="s">
        <v>214</v>
      </c>
      <c r="K49" s="6" t="str">
        <f t="shared" si="1"/>
        <v> 山形県山形市上町２－９－５</v>
      </c>
      <c r="L49" s="6"/>
      <c r="M49" s="6" t="s">
        <v>215</v>
      </c>
      <c r="N49" s="12" t="s">
        <v>30</v>
      </c>
      <c r="O49" s="6" t="s">
        <v>470</v>
      </c>
      <c r="P49" s="6"/>
      <c r="Q49" s="6" t="s">
        <v>466</v>
      </c>
      <c r="R49" s="6" t="s">
        <v>342</v>
      </c>
      <c r="S49" s="6" t="s">
        <v>471</v>
      </c>
      <c r="T49" s="6" t="s">
        <v>472</v>
      </c>
      <c r="U49" s="6"/>
      <c r="V49" s="6" t="s">
        <v>473</v>
      </c>
      <c r="W49" s="6"/>
      <c r="X49" s="6"/>
      <c r="Y49" s="6" t="s">
        <v>221</v>
      </c>
    </row>
    <row r="50" ht="33.05" customHeight="1" spans="1:25">
      <c r="A50" s="6" t="s">
        <v>474</v>
      </c>
      <c r="B50" s="7" t="s">
        <v>474</v>
      </c>
      <c r="C50" s="8"/>
      <c r="D50" s="6">
        <v>16</v>
      </c>
      <c r="E50" s="6">
        <v>1</v>
      </c>
      <c r="F50" s="9" t="s">
        <v>475</v>
      </c>
      <c r="G50" s="6" t="str">
        <f t="shared" si="0"/>
        <v>神奈川県川崎市川崎区大島5ー21ー18エクセレントハイツ101号神奈川県川崎市川崎区大島5ー21ー18エクセレントハイッ101号</v>
      </c>
      <c r="H50" s="6" t="s">
        <v>476</v>
      </c>
      <c r="I50" s="6" t="s">
        <v>477</v>
      </c>
      <c r="J50" s="6" t="s">
        <v>274</v>
      </c>
      <c r="K50" s="6" t="str">
        <f t="shared" si="1"/>
        <v> 大阪府富田林市平町１－４１０３－１</v>
      </c>
      <c r="L50" s="6"/>
      <c r="M50" s="6" t="s">
        <v>275</v>
      </c>
      <c r="N50" s="12" t="s">
        <v>30</v>
      </c>
      <c r="O50" s="6" t="s">
        <v>101</v>
      </c>
      <c r="P50" s="6"/>
      <c r="Q50" s="6" t="s">
        <v>474</v>
      </c>
      <c r="R50" s="6" t="s">
        <v>82</v>
      </c>
      <c r="S50" s="6" t="s">
        <v>478</v>
      </c>
      <c r="T50" s="6" t="s">
        <v>479</v>
      </c>
      <c r="U50" s="6"/>
      <c r="V50" s="6" t="s">
        <v>480</v>
      </c>
      <c r="W50" s="6"/>
      <c r="X50" s="6"/>
      <c r="Y50" s="6" t="s">
        <v>281</v>
      </c>
    </row>
    <row r="51" ht="33.05" customHeight="1" spans="1:25">
      <c r="A51" s="6" t="s">
        <v>481</v>
      </c>
      <c r="B51" s="7" t="s">
        <v>481</v>
      </c>
      <c r="C51" s="8">
        <v>45837</v>
      </c>
      <c r="D51" s="6">
        <v>1</v>
      </c>
      <c r="E51" s="6">
        <v>1</v>
      </c>
      <c r="F51" s="9" t="s">
        <v>482</v>
      </c>
      <c r="G51" s="6" t="str">
        <f t="shared" si="0"/>
        <v>宮崎県延岡市若葉町1-2738-3宮崎県延岡市若葉町1-2738-3</v>
      </c>
      <c r="H51" s="6" t="s">
        <v>483</v>
      </c>
      <c r="I51" s="6" t="s">
        <v>484</v>
      </c>
      <c r="J51" s="6" t="s">
        <v>69</v>
      </c>
      <c r="K51" s="6" t="str">
        <f t="shared" si="1"/>
        <v> 東京都西多摩郡奥多摩町留浦１０１８</v>
      </c>
      <c r="L51" s="6"/>
      <c r="M51" s="6" t="s">
        <v>70</v>
      </c>
      <c r="N51" s="12" t="s">
        <v>30</v>
      </c>
      <c r="O51" s="6" t="s">
        <v>485</v>
      </c>
      <c r="P51" s="6"/>
      <c r="Q51" s="6" t="s">
        <v>481</v>
      </c>
      <c r="R51" s="6" t="s">
        <v>486</v>
      </c>
      <c r="S51" s="6" t="s">
        <v>487</v>
      </c>
      <c r="T51" s="6" t="s">
        <v>488</v>
      </c>
      <c r="U51" s="6"/>
      <c r="V51" s="6" t="s">
        <v>489</v>
      </c>
      <c r="W51" s="6"/>
      <c r="X51" s="6"/>
      <c r="Y51" s="6" t="s">
        <v>76</v>
      </c>
    </row>
    <row r="52" ht="33.05" customHeight="1" spans="1:25">
      <c r="A52" s="6" t="s">
        <v>490</v>
      </c>
      <c r="B52" s="7" t="s">
        <v>490</v>
      </c>
      <c r="C52" s="8"/>
      <c r="D52" s="6">
        <v>18</v>
      </c>
      <c r="E52" s="6">
        <v>1</v>
      </c>
      <c r="F52" s="9" t="s">
        <v>491</v>
      </c>
      <c r="G52" s="6" t="str">
        <f t="shared" si="0"/>
        <v>鹿児島県霧島市横川町中ノ5406-42鹿児島県霧島市横川町中ノ5406-42</v>
      </c>
      <c r="H52" s="6" t="s">
        <v>492</v>
      </c>
      <c r="I52" s="6" t="s">
        <v>493</v>
      </c>
      <c r="J52" s="6" t="s">
        <v>214</v>
      </c>
      <c r="K52" s="6" t="str">
        <f t="shared" si="1"/>
        <v> 山形県山形市上町２－９－５</v>
      </c>
      <c r="L52" s="6"/>
      <c r="M52" s="6" t="s">
        <v>215</v>
      </c>
      <c r="N52" s="12" t="s">
        <v>30</v>
      </c>
      <c r="O52" s="6" t="s">
        <v>422</v>
      </c>
      <c r="P52" s="6"/>
      <c r="Q52" s="6" t="s">
        <v>490</v>
      </c>
      <c r="R52" s="6" t="s">
        <v>494</v>
      </c>
      <c r="S52" s="6" t="s">
        <v>495</v>
      </c>
      <c r="T52" s="6" t="s">
        <v>496</v>
      </c>
      <c r="U52" s="6"/>
      <c r="V52" s="6" t="s">
        <v>497</v>
      </c>
      <c r="W52" s="6"/>
      <c r="X52" s="6"/>
      <c r="Y52" s="6" t="s">
        <v>221</v>
      </c>
    </row>
    <row r="53" ht="33.05" customHeight="1" spans="1:25">
      <c r="A53" s="6" t="s">
        <v>498</v>
      </c>
      <c r="B53" s="7" t="s">
        <v>498</v>
      </c>
      <c r="C53" s="8"/>
      <c r="D53" s="6">
        <v>18</v>
      </c>
      <c r="E53" s="6">
        <v>1</v>
      </c>
      <c r="F53" s="9" t="s">
        <v>499</v>
      </c>
      <c r="G53" s="6" t="str">
        <f t="shared" si="0"/>
        <v>兵庫県神戸市西区伊川谷町有瀬165ー124兵庫県神戸市西区伊川谷町有瀬165ー124</v>
      </c>
      <c r="H53" s="6" t="s">
        <v>500</v>
      </c>
      <c r="I53" s="6" t="s">
        <v>501</v>
      </c>
      <c r="J53" s="6" t="s">
        <v>214</v>
      </c>
      <c r="K53" s="6" t="str">
        <f t="shared" si="1"/>
        <v> 山形県山形市上町２－９－５</v>
      </c>
      <c r="L53" s="6"/>
      <c r="M53" s="6" t="s">
        <v>215</v>
      </c>
      <c r="N53" s="12" t="s">
        <v>30</v>
      </c>
      <c r="O53" s="6" t="s">
        <v>101</v>
      </c>
      <c r="P53" s="6"/>
      <c r="Q53" s="6" t="s">
        <v>498</v>
      </c>
      <c r="R53" s="6" t="s">
        <v>207</v>
      </c>
      <c r="S53" s="6" t="s">
        <v>502</v>
      </c>
      <c r="T53" s="6" t="s">
        <v>503</v>
      </c>
      <c r="U53" s="6"/>
      <c r="V53" s="6" t="s">
        <v>504</v>
      </c>
      <c r="W53" s="6"/>
      <c r="X53" s="6"/>
      <c r="Y53" s="6" t="s">
        <v>221</v>
      </c>
    </row>
    <row r="54" ht="33.05" customHeight="1" spans="1:25">
      <c r="A54" s="6" t="s">
        <v>505</v>
      </c>
      <c r="B54" s="7" t="s">
        <v>505</v>
      </c>
      <c r="C54" s="8">
        <v>45841</v>
      </c>
      <c r="D54" s="6">
        <v>16</v>
      </c>
      <c r="E54" s="6">
        <v>1</v>
      </c>
      <c r="F54" s="9" t="s">
        <v>506</v>
      </c>
      <c r="G54" s="6" t="str">
        <f t="shared" si="0"/>
        <v>静岡県駿東郡長泉町長泉町下土狩840-43静岡県駿東郡長泉町下土狩長泉町840-43</v>
      </c>
      <c r="H54" s="6" t="s">
        <v>507</v>
      </c>
      <c r="I54" s="6" t="s">
        <v>508</v>
      </c>
      <c r="J54" s="6" t="s">
        <v>214</v>
      </c>
      <c r="K54" s="6" t="str">
        <f t="shared" si="1"/>
        <v> 山形県山形市上町２－９－５</v>
      </c>
      <c r="L54" s="6"/>
      <c r="M54" s="6" t="s">
        <v>215</v>
      </c>
      <c r="N54" s="12" t="s">
        <v>30</v>
      </c>
      <c r="O54" s="6" t="s">
        <v>509</v>
      </c>
      <c r="P54" s="6"/>
      <c r="Q54" s="6" t="s">
        <v>505</v>
      </c>
      <c r="R54" s="6" t="s">
        <v>202</v>
      </c>
      <c r="S54" s="6" t="s">
        <v>510</v>
      </c>
      <c r="T54" s="6" t="s">
        <v>511</v>
      </c>
      <c r="U54" s="6"/>
      <c r="V54" s="6" t="s">
        <v>512</v>
      </c>
      <c r="W54" s="6"/>
      <c r="X54" s="6"/>
      <c r="Y54" s="6" t="s">
        <v>221</v>
      </c>
    </row>
    <row r="55" ht="33.05" customHeight="1" spans="1:25">
      <c r="A55" s="6" t="s">
        <v>513</v>
      </c>
      <c r="B55" s="7" t="s">
        <v>513</v>
      </c>
      <c r="C55" s="8">
        <v>45839</v>
      </c>
      <c r="D55" s="6">
        <v>1</v>
      </c>
      <c r="E55" s="6">
        <v>1</v>
      </c>
      <c r="F55" s="9" t="s">
        <v>514</v>
      </c>
      <c r="G55" s="6" t="str">
        <f t="shared" si="0"/>
        <v>山形県山形市東青田2-17-12山形県山形市東青田2-17-12</v>
      </c>
      <c r="H55" s="6" t="s">
        <v>515</v>
      </c>
      <c r="I55" s="6" t="s">
        <v>516</v>
      </c>
      <c r="J55" s="6" t="s">
        <v>274</v>
      </c>
      <c r="K55" s="6" t="str">
        <f t="shared" si="1"/>
        <v> 大阪府富田林市平町１－４１０３－１</v>
      </c>
      <c r="L55" s="6"/>
      <c r="M55" s="6" t="s">
        <v>275</v>
      </c>
      <c r="N55" s="12" t="s">
        <v>30</v>
      </c>
      <c r="O55" s="6" t="s">
        <v>517</v>
      </c>
      <c r="P55" s="6"/>
      <c r="Q55" s="6" t="s">
        <v>513</v>
      </c>
      <c r="R55" s="6" t="s">
        <v>518</v>
      </c>
      <c r="S55" s="6" t="s">
        <v>519</v>
      </c>
      <c r="T55" s="6" t="s">
        <v>520</v>
      </c>
      <c r="U55" s="6"/>
      <c r="V55" s="6" t="s">
        <v>521</v>
      </c>
      <c r="W55" s="6"/>
      <c r="X55" s="6"/>
      <c r="Y55" s="6" t="s">
        <v>281</v>
      </c>
    </row>
    <row r="56" ht="33.05" customHeight="1" spans="1:25">
      <c r="A56" s="6" t="s">
        <v>522</v>
      </c>
      <c r="B56" s="7" t="s">
        <v>522</v>
      </c>
      <c r="C56" s="8">
        <v>45839</v>
      </c>
      <c r="D56" s="6">
        <v>18</v>
      </c>
      <c r="E56" s="6">
        <v>1</v>
      </c>
      <c r="F56" s="9" t="s">
        <v>523</v>
      </c>
      <c r="G56" s="6" t="str">
        <f t="shared" si="0"/>
        <v>東京都大田区山王4-29-1東京都大田区山王4-29-1</v>
      </c>
      <c r="H56" s="6" t="s">
        <v>524</v>
      </c>
      <c r="I56" s="6" t="s">
        <v>525</v>
      </c>
      <c r="J56" s="6" t="s">
        <v>526</v>
      </c>
      <c r="K56" s="6" t="str">
        <f t="shared" si="1"/>
        <v> 大阪府大阪市中央区安堂寺町2-1-3-901</v>
      </c>
      <c r="L56" s="6"/>
      <c r="M56" s="6" t="s">
        <v>527</v>
      </c>
      <c r="N56" s="12" t="s">
        <v>30</v>
      </c>
      <c r="O56" s="6" t="s">
        <v>528</v>
      </c>
      <c r="P56" s="6"/>
      <c r="Q56" s="6" t="s">
        <v>522</v>
      </c>
      <c r="R56" s="6" t="s">
        <v>32</v>
      </c>
      <c r="S56" s="6" t="s">
        <v>529</v>
      </c>
      <c r="T56" s="6" t="s">
        <v>530</v>
      </c>
      <c r="U56" s="6"/>
      <c r="V56" s="6" t="s">
        <v>531</v>
      </c>
      <c r="W56" s="6"/>
      <c r="X56" s="6"/>
      <c r="Y56" s="6" t="s">
        <v>532</v>
      </c>
    </row>
    <row r="57" ht="33.05" customHeight="1" spans="1:25">
      <c r="A57" s="6" t="s">
        <v>533</v>
      </c>
      <c r="B57" s="7" t="s">
        <v>533</v>
      </c>
      <c r="C57" s="8">
        <v>45836</v>
      </c>
      <c r="D57" s="6">
        <v>0</v>
      </c>
      <c r="E57" s="6">
        <v>1</v>
      </c>
      <c r="F57" s="9" t="s">
        <v>534</v>
      </c>
      <c r="G57" s="6" t="str">
        <f t="shared" si="0"/>
        <v>茨城県つくば市要315番地18キャラット23 202茨城県つくば市要315番地18キャラット23202</v>
      </c>
      <c r="H57" s="6" t="s">
        <v>535</v>
      </c>
      <c r="I57" s="6" t="s">
        <v>536</v>
      </c>
      <c r="J57" s="6" t="s">
        <v>395</v>
      </c>
      <c r="K57" s="6" t="str">
        <f t="shared" si="1"/>
        <v> 上野芝町2－5－1－５０７</v>
      </c>
      <c r="L57" s="6"/>
      <c r="M57" s="6" t="s">
        <v>396</v>
      </c>
      <c r="N57" s="12" t="s">
        <v>30</v>
      </c>
      <c r="O57" s="6" t="s">
        <v>171</v>
      </c>
      <c r="P57" s="6"/>
      <c r="Q57" s="6" t="s">
        <v>533</v>
      </c>
      <c r="R57" s="6" t="s">
        <v>72</v>
      </c>
      <c r="S57" s="6" t="s">
        <v>537</v>
      </c>
      <c r="T57" s="6" t="s">
        <v>538</v>
      </c>
      <c r="U57" s="6"/>
      <c r="V57" s="6" t="s">
        <v>539</v>
      </c>
      <c r="W57" s="6"/>
      <c r="X57" s="6"/>
      <c r="Y57" s="6" t="s">
        <v>401</v>
      </c>
    </row>
    <row r="58" ht="33.05" customHeight="1" spans="1:25">
      <c r="A58" s="6" t="s">
        <v>540</v>
      </c>
      <c r="B58" s="7" t="s">
        <v>540</v>
      </c>
      <c r="C58" s="8">
        <v>45838</v>
      </c>
      <c r="D58" s="6">
        <v>0</v>
      </c>
      <c r="E58" s="6">
        <v>1</v>
      </c>
      <c r="F58" s="9" t="s">
        <v>541</v>
      </c>
      <c r="G58" s="6" t="str">
        <f t="shared" si="0"/>
        <v>神奈川県横浜市南区永田台2-12-1119神奈川県横浜市南区永田台2-12-1119</v>
      </c>
      <c r="H58" s="6" t="s">
        <v>542</v>
      </c>
      <c r="I58" s="6" t="s">
        <v>543</v>
      </c>
      <c r="J58" s="6" t="s">
        <v>274</v>
      </c>
      <c r="K58" s="6" t="str">
        <f t="shared" si="1"/>
        <v> 大阪府富田林市平町１－４１０３－１</v>
      </c>
      <c r="L58" s="6"/>
      <c r="M58" s="6" t="s">
        <v>275</v>
      </c>
      <c r="N58" s="12" t="s">
        <v>30</v>
      </c>
      <c r="O58" s="6" t="s">
        <v>544</v>
      </c>
      <c r="P58" s="6"/>
      <c r="Q58" s="6" t="s">
        <v>540</v>
      </c>
      <c r="R58" s="6" t="s">
        <v>82</v>
      </c>
      <c r="S58" s="6" t="s">
        <v>545</v>
      </c>
      <c r="T58" s="6" t="s">
        <v>546</v>
      </c>
      <c r="U58" s="6"/>
      <c r="V58" s="6" t="s">
        <v>547</v>
      </c>
      <c r="W58" s="6"/>
      <c r="X58" s="6"/>
      <c r="Y58" s="6" t="s">
        <v>281</v>
      </c>
    </row>
    <row r="59" ht="33.05" customHeight="1" spans="1:25">
      <c r="A59" s="6" t="s">
        <v>548</v>
      </c>
      <c r="B59" s="7" t="s">
        <v>548</v>
      </c>
      <c r="C59" s="8"/>
      <c r="D59" s="6">
        <v>18</v>
      </c>
      <c r="E59" s="6">
        <v>1</v>
      </c>
      <c r="F59" s="9" t="s">
        <v>549</v>
      </c>
      <c r="G59" s="6" t="str">
        <f t="shared" si="0"/>
        <v>静岡県静岡市葵区常磐町1-2-2 一番館静岡県静岡市葵区常磐町1-2-2一番館</v>
      </c>
      <c r="H59" s="6" t="s">
        <v>550</v>
      </c>
      <c r="I59" s="6" t="s">
        <v>551</v>
      </c>
      <c r="J59" s="6" t="s">
        <v>295</v>
      </c>
      <c r="K59" s="6" t="str">
        <f t="shared" si="1"/>
        <v> 神奈川県秦野市戸川４７０－７</v>
      </c>
      <c r="L59" s="6"/>
      <c r="M59" s="6" t="s">
        <v>296</v>
      </c>
      <c r="N59" s="12" t="s">
        <v>30</v>
      </c>
      <c r="O59" s="6" t="s">
        <v>552</v>
      </c>
      <c r="P59" s="6"/>
      <c r="Q59" s="6" t="s">
        <v>548</v>
      </c>
      <c r="R59" s="6" t="s">
        <v>202</v>
      </c>
      <c r="S59" s="6" t="s">
        <v>553</v>
      </c>
      <c r="T59" s="6" t="s">
        <v>554</v>
      </c>
      <c r="U59" s="6"/>
      <c r="V59" s="6" t="s">
        <v>555</v>
      </c>
      <c r="W59" s="6"/>
      <c r="X59" s="6"/>
      <c r="Y59" s="6" t="s">
        <v>301</v>
      </c>
    </row>
    <row r="60" ht="33.05" customHeight="1" spans="1:25">
      <c r="A60" s="6" t="s">
        <v>556</v>
      </c>
      <c r="B60" s="7" t="s">
        <v>556</v>
      </c>
      <c r="C60" s="8">
        <v>45843</v>
      </c>
      <c r="D60" s="6">
        <v>0</v>
      </c>
      <c r="E60" s="6">
        <v>1</v>
      </c>
      <c r="F60" s="9" t="s">
        <v>557</v>
      </c>
      <c r="G60" s="6" t="str">
        <f t="shared" si="0"/>
        <v>沖縄県名護市為又911-9 カーサプラシード湧田301号室沖縄県名護市為又911-9カーサプラシード湧田301号室</v>
      </c>
      <c r="H60" s="6" t="s">
        <v>558</v>
      </c>
      <c r="I60" s="6" t="s">
        <v>559</v>
      </c>
      <c r="J60" s="6" t="s">
        <v>526</v>
      </c>
      <c r="K60" s="6" t="str">
        <f t="shared" si="1"/>
        <v> 大阪府大阪市中央区安堂寺町2-1-3-901</v>
      </c>
      <c r="L60" s="6"/>
      <c r="M60" s="6" t="s">
        <v>527</v>
      </c>
      <c r="N60" s="12" t="s">
        <v>30</v>
      </c>
      <c r="O60" s="6" t="s">
        <v>560</v>
      </c>
      <c r="P60" s="6"/>
      <c r="Q60" s="6" t="s">
        <v>556</v>
      </c>
      <c r="R60" s="6" t="s">
        <v>561</v>
      </c>
      <c r="S60" s="6" t="s">
        <v>562</v>
      </c>
      <c r="T60" s="6" t="s">
        <v>563</v>
      </c>
      <c r="U60" s="6"/>
      <c r="V60" s="6" t="s">
        <v>564</v>
      </c>
      <c r="W60" s="6"/>
      <c r="X60" s="6"/>
      <c r="Y60" s="6" t="s">
        <v>532</v>
      </c>
    </row>
    <row r="61" ht="33.05" customHeight="1" spans="1:25">
      <c r="A61" s="6" t="s">
        <v>565</v>
      </c>
      <c r="B61" s="7" t="s">
        <v>565</v>
      </c>
      <c r="C61" s="8">
        <v>45836</v>
      </c>
      <c r="D61" s="6">
        <v>16</v>
      </c>
      <c r="E61" s="6">
        <v>1</v>
      </c>
      <c r="F61" s="9" t="s">
        <v>566</v>
      </c>
      <c r="G61" s="6" t="str">
        <f t="shared" si="0"/>
        <v>兵庫県神戸市須磨区妙法寺口中山858-18兵庫県神戸市須磨区妙法寺口中山858-18</v>
      </c>
      <c r="H61" s="6" t="s">
        <v>567</v>
      </c>
      <c r="I61" s="6" t="s">
        <v>568</v>
      </c>
      <c r="J61" s="6" t="s">
        <v>295</v>
      </c>
      <c r="K61" s="6" t="str">
        <f t="shared" si="1"/>
        <v> 神奈川県秦野市戸川４７０－７</v>
      </c>
      <c r="L61" s="6"/>
      <c r="M61" s="6" t="s">
        <v>296</v>
      </c>
      <c r="N61" s="12" t="s">
        <v>30</v>
      </c>
      <c r="O61" s="6" t="s">
        <v>216</v>
      </c>
      <c r="P61" s="6"/>
      <c r="Q61" s="6" t="s">
        <v>565</v>
      </c>
      <c r="R61" s="6" t="s">
        <v>207</v>
      </c>
      <c r="S61" s="6" t="s">
        <v>569</v>
      </c>
      <c r="T61" s="6" t="s">
        <v>570</v>
      </c>
      <c r="U61" s="6"/>
      <c r="V61" s="6" t="s">
        <v>571</v>
      </c>
      <c r="W61" s="6"/>
      <c r="X61" s="6"/>
      <c r="Y61" s="6" t="s">
        <v>301</v>
      </c>
    </row>
    <row r="62" ht="33.05" customHeight="1" spans="1:25">
      <c r="A62" s="6" t="s">
        <v>572</v>
      </c>
      <c r="B62" s="7" t="s">
        <v>572</v>
      </c>
      <c r="C62" s="8"/>
      <c r="D62" s="6">
        <v>1</v>
      </c>
      <c r="E62" s="6">
        <v>1</v>
      </c>
      <c r="F62" s="9" t="s">
        <v>573</v>
      </c>
      <c r="G62" s="6" t="str">
        <f t="shared" si="0"/>
        <v>熊本県熊本市中央区黒髪3-6-11 ブルームーンビル熊本県熊本市中央区黒髪3-6-11ブルームーンビル</v>
      </c>
      <c r="H62" s="6" t="s">
        <v>574</v>
      </c>
      <c r="I62" s="6" t="s">
        <v>575</v>
      </c>
      <c r="J62" s="6" t="s">
        <v>214</v>
      </c>
      <c r="K62" s="6" t="str">
        <f t="shared" si="1"/>
        <v> 山形県山形市上町２－９－５</v>
      </c>
      <c r="L62" s="6"/>
      <c r="M62" s="6" t="s">
        <v>215</v>
      </c>
      <c r="N62" s="12" t="s">
        <v>30</v>
      </c>
      <c r="O62" s="6" t="s">
        <v>216</v>
      </c>
      <c r="P62" s="6"/>
      <c r="Q62" s="6" t="s">
        <v>572</v>
      </c>
      <c r="R62" s="6" t="s">
        <v>576</v>
      </c>
      <c r="S62" s="6" t="s">
        <v>577</v>
      </c>
      <c r="T62" s="6" t="s">
        <v>578</v>
      </c>
      <c r="U62" s="6"/>
      <c r="V62" s="6" t="s">
        <v>579</v>
      </c>
      <c r="W62" s="6"/>
      <c r="X62" s="6"/>
      <c r="Y62" s="6" t="s">
        <v>221</v>
      </c>
    </row>
    <row r="63" ht="33.05" customHeight="1" spans="1:25">
      <c r="A63" s="6" t="s">
        <v>580</v>
      </c>
      <c r="B63" s="7" t="s">
        <v>580</v>
      </c>
      <c r="C63" s="8">
        <v>45836</v>
      </c>
      <c r="D63" s="6">
        <v>1</v>
      </c>
      <c r="E63" s="6">
        <v>1</v>
      </c>
      <c r="F63" s="9" t="s">
        <v>581</v>
      </c>
      <c r="G63" s="6" t="str">
        <f t="shared" si="0"/>
        <v>神奈川県横浜市西区戸部本町34-1ヌーヴェル横浜503神奈川県横浜市西区戸部本町34-1ヌーヴェル横浜503</v>
      </c>
      <c r="H63" s="6" t="s">
        <v>582</v>
      </c>
      <c r="I63" s="6" t="s">
        <v>583</v>
      </c>
      <c r="J63" s="6" t="s">
        <v>214</v>
      </c>
      <c r="K63" s="6" t="str">
        <f t="shared" si="1"/>
        <v> 山形県山形市上町２－９－５</v>
      </c>
      <c r="L63" s="6"/>
      <c r="M63" s="6" t="s">
        <v>215</v>
      </c>
      <c r="N63" s="12" t="s">
        <v>30</v>
      </c>
      <c r="O63" s="6" t="s">
        <v>584</v>
      </c>
      <c r="P63" s="6"/>
      <c r="Q63" s="6" t="s">
        <v>580</v>
      </c>
      <c r="R63" s="6" t="s">
        <v>82</v>
      </c>
      <c r="S63" s="6" t="s">
        <v>585</v>
      </c>
      <c r="T63" s="6" t="s">
        <v>586</v>
      </c>
      <c r="U63" s="6"/>
      <c r="V63" s="6" t="s">
        <v>587</v>
      </c>
      <c r="W63" s="6"/>
      <c r="X63" s="6"/>
      <c r="Y63" s="6" t="s">
        <v>221</v>
      </c>
    </row>
    <row r="64" ht="33.05" customHeight="1" spans="1:25">
      <c r="A64" s="6" t="s">
        <v>588</v>
      </c>
      <c r="B64" s="7" t="s">
        <v>588</v>
      </c>
      <c r="C64" s="8">
        <v>45837</v>
      </c>
      <c r="D64" s="6">
        <v>1</v>
      </c>
      <c r="E64" s="6">
        <v>1</v>
      </c>
      <c r="F64" s="9" t="s">
        <v>589</v>
      </c>
      <c r="G64" s="6" t="str">
        <f t="shared" si="0"/>
        <v>東京都三鷹市井の頭2-13-8 グラスガーデン井の頭1-210東京都三鷹市井の頭2-13-8グラスガーデン井の頭1-210</v>
      </c>
      <c r="H64" s="6" t="s">
        <v>590</v>
      </c>
      <c r="I64" s="6" t="s">
        <v>591</v>
      </c>
      <c r="J64" s="6" t="s">
        <v>180</v>
      </c>
      <c r="K64" s="6" t="str">
        <f t="shared" si="1"/>
        <v> 内本町2‐3‐8</v>
      </c>
      <c r="L64" s="6"/>
      <c r="M64" s="6" t="s">
        <v>158</v>
      </c>
      <c r="N64" s="12" t="s">
        <v>30</v>
      </c>
      <c r="O64" s="6" t="s">
        <v>592</v>
      </c>
      <c r="P64" s="6"/>
      <c r="Q64" s="6" t="s">
        <v>588</v>
      </c>
      <c r="R64" s="6" t="s">
        <v>32</v>
      </c>
      <c r="S64" s="6" t="s">
        <v>593</v>
      </c>
      <c r="T64" s="6" t="s">
        <v>594</v>
      </c>
      <c r="U64" s="6"/>
      <c r="V64" s="6" t="s">
        <v>595</v>
      </c>
      <c r="W64" s="6"/>
      <c r="X64" s="6"/>
      <c r="Y64" s="6" t="s">
        <v>164</v>
      </c>
    </row>
    <row r="65" ht="33.05" customHeight="1" spans="1:25">
      <c r="A65" s="6" t="s">
        <v>596</v>
      </c>
      <c r="B65" s="7" t="s">
        <v>596</v>
      </c>
      <c r="C65" s="8">
        <v>45844</v>
      </c>
      <c r="D65" s="6">
        <v>0</v>
      </c>
      <c r="E65" s="6">
        <v>1</v>
      </c>
      <c r="F65" s="9" t="s">
        <v>597</v>
      </c>
      <c r="G65" s="6" t="str">
        <f t="shared" si="0"/>
        <v>千葉県浦安市堀江2-24-25千葉県浦安市堀江2-24-25</v>
      </c>
      <c r="H65" s="6" t="s">
        <v>598</v>
      </c>
      <c r="I65" s="6" t="s">
        <v>599</v>
      </c>
      <c r="J65" s="6" t="s">
        <v>600</v>
      </c>
      <c r="K65" s="6" t="str">
        <f t="shared" si="1"/>
        <v>大阪府大阪市 敷津東３－５－１－１５１４号</v>
      </c>
      <c r="L65" s="6"/>
      <c r="M65" s="6" t="s">
        <v>601</v>
      </c>
      <c r="N65" s="12" t="s">
        <v>30</v>
      </c>
      <c r="O65" s="6" t="s">
        <v>602</v>
      </c>
      <c r="P65" s="6"/>
      <c r="Q65" s="6" t="s">
        <v>596</v>
      </c>
      <c r="R65" s="6" t="s">
        <v>182</v>
      </c>
      <c r="S65" s="6" t="s">
        <v>603</v>
      </c>
      <c r="T65" s="6" t="s">
        <v>604</v>
      </c>
      <c r="U65" s="6" t="s">
        <v>205</v>
      </c>
      <c r="V65" s="6" t="s">
        <v>605</v>
      </c>
      <c r="W65" s="6" t="s">
        <v>48</v>
      </c>
      <c r="X65" s="6" t="s">
        <v>606</v>
      </c>
      <c r="Y65" s="6" t="s">
        <v>607</v>
      </c>
    </row>
    <row r="66" ht="33.05" customHeight="1" spans="1:25">
      <c r="A66" s="6" t="s">
        <v>608</v>
      </c>
      <c r="B66" s="7" t="s">
        <v>608</v>
      </c>
      <c r="C66" s="8"/>
      <c r="D66" s="6">
        <v>0</v>
      </c>
      <c r="E66" s="6">
        <v>1</v>
      </c>
      <c r="F66" s="9" t="s">
        <v>609</v>
      </c>
      <c r="G66" s="6" t="str">
        <f t="shared" ref="G66:G124" si="2">R66&amp;S66&amp;T66&amp;U66&amp;V66</f>
        <v>東京都足立区加賀二丁目三十一番地4ー305東京都足立区加賀二丁目三十一番地4ー305</v>
      </c>
      <c r="H66" s="6" t="s">
        <v>610</v>
      </c>
      <c r="I66" s="6" t="s">
        <v>611</v>
      </c>
      <c r="J66" s="6" t="s">
        <v>57</v>
      </c>
      <c r="K66" s="6" t="str">
        <f t="shared" ref="K66:K124" si="3">W66&amp;X66&amp;Y66</f>
        <v> 中央区内本町2‐3‐8　ダイアパレスビル本町 1006ミズイシテクノロジー</v>
      </c>
      <c r="L66" s="6"/>
      <c r="M66" s="6" t="s">
        <v>58</v>
      </c>
      <c r="N66" s="12" t="s">
        <v>30</v>
      </c>
      <c r="O66" s="6" t="s">
        <v>612</v>
      </c>
      <c r="P66" s="6"/>
      <c r="Q66" s="6" t="s">
        <v>608</v>
      </c>
      <c r="R66" s="6" t="s">
        <v>32</v>
      </c>
      <c r="S66" s="6" t="s">
        <v>252</v>
      </c>
      <c r="T66" s="6" t="s">
        <v>613</v>
      </c>
      <c r="U66" s="6"/>
      <c r="V66" s="6" t="s">
        <v>614</v>
      </c>
      <c r="W66" s="6"/>
      <c r="X66" s="6"/>
      <c r="Y66" s="6" t="s">
        <v>64</v>
      </c>
    </row>
    <row r="67" ht="33.05" customHeight="1" spans="1:25">
      <c r="A67" s="6" t="s">
        <v>615</v>
      </c>
      <c r="B67" s="7" t="s">
        <v>615</v>
      </c>
      <c r="C67" s="8">
        <v>45841</v>
      </c>
      <c r="D67" s="6">
        <v>0</v>
      </c>
      <c r="E67" s="6">
        <v>1</v>
      </c>
      <c r="F67" s="9" t="s">
        <v>616</v>
      </c>
      <c r="G67" s="6" t="str">
        <f t="shared" si="2"/>
        <v>福岡県宗像市日の里一丁目25-4福岡県宗像市日の里一丁目25-4</v>
      </c>
      <c r="H67" s="6" t="s">
        <v>617</v>
      </c>
      <c r="I67" s="6" t="s">
        <v>618</v>
      </c>
      <c r="J67" s="6" t="s">
        <v>395</v>
      </c>
      <c r="K67" s="6" t="str">
        <f t="shared" si="3"/>
        <v> 上野芝町2－5－1－５０７</v>
      </c>
      <c r="L67" s="6"/>
      <c r="M67" s="6" t="s">
        <v>396</v>
      </c>
      <c r="N67" s="12" t="s">
        <v>30</v>
      </c>
      <c r="O67" s="6" t="s">
        <v>619</v>
      </c>
      <c r="P67" s="6"/>
      <c r="Q67" s="6" t="s">
        <v>615</v>
      </c>
      <c r="R67" s="6" t="s">
        <v>149</v>
      </c>
      <c r="S67" s="6" t="s">
        <v>620</v>
      </c>
      <c r="T67" s="6" t="s">
        <v>621</v>
      </c>
      <c r="U67" s="6"/>
      <c r="V67" s="6" t="s">
        <v>622</v>
      </c>
      <c r="W67" s="6"/>
      <c r="X67" s="6"/>
      <c r="Y67" s="6" t="s">
        <v>401</v>
      </c>
    </row>
    <row r="68" ht="33.05" customHeight="1" spans="1:25">
      <c r="A68" s="6" t="s">
        <v>623</v>
      </c>
      <c r="B68" s="7" t="s">
        <v>623</v>
      </c>
      <c r="C68" s="8"/>
      <c r="D68" s="6">
        <v>1</v>
      </c>
      <c r="E68" s="6">
        <v>1</v>
      </c>
      <c r="F68" s="9" t="s">
        <v>624</v>
      </c>
      <c r="G68" s="6" t="str">
        <f t="shared" si="2"/>
        <v>長野県安曇野市豊科高家3544-1 Green Villa 501長野県安曇野市豊科高家3544-1GREENVILLA501</v>
      </c>
      <c r="H68" s="6" t="s">
        <v>625</v>
      </c>
      <c r="I68" s="6" t="s">
        <v>626</v>
      </c>
      <c r="J68" s="6" t="s">
        <v>180</v>
      </c>
      <c r="K68" s="6" t="str">
        <f t="shared" si="3"/>
        <v> 内本町2‐3‐8</v>
      </c>
      <c r="L68" s="6"/>
      <c r="M68" s="6" t="s">
        <v>158</v>
      </c>
      <c r="N68" s="12" t="s">
        <v>30</v>
      </c>
      <c r="O68" s="6" t="s">
        <v>627</v>
      </c>
      <c r="P68" s="6"/>
      <c r="Q68" s="6" t="s">
        <v>623</v>
      </c>
      <c r="R68" s="6" t="s">
        <v>235</v>
      </c>
      <c r="S68" s="6" t="s">
        <v>628</v>
      </c>
      <c r="T68" s="6" t="s">
        <v>629</v>
      </c>
      <c r="U68" s="6"/>
      <c r="V68" s="6" t="s">
        <v>630</v>
      </c>
      <c r="W68" s="6"/>
      <c r="X68" s="6"/>
      <c r="Y68" s="6" t="s">
        <v>164</v>
      </c>
    </row>
    <row r="69" ht="33.05" customHeight="1" spans="1:25">
      <c r="A69" s="6" t="s">
        <v>631</v>
      </c>
      <c r="B69" s="7" t="s">
        <v>631</v>
      </c>
      <c r="C69" s="8">
        <v>45835</v>
      </c>
      <c r="D69" s="6">
        <v>0</v>
      </c>
      <c r="E69" s="6">
        <v>1</v>
      </c>
      <c r="F69" s="9" t="s">
        <v>632</v>
      </c>
      <c r="G69" s="6" t="str">
        <f t="shared" si="2"/>
        <v>東京都調布市染地2-8-219 パークホームズ調布桜堤通り209東京都調布市染地2-8-219パークホームズ調布桜堤通り209</v>
      </c>
      <c r="H69" s="6" t="s">
        <v>633</v>
      </c>
      <c r="I69" s="6" t="s">
        <v>634</v>
      </c>
      <c r="J69" s="6" t="s">
        <v>600</v>
      </c>
      <c r="K69" s="6" t="str">
        <f t="shared" si="3"/>
        <v>大阪府大阪市 敷津東３－５－１－１５１４号</v>
      </c>
      <c r="L69" s="6"/>
      <c r="M69" s="6" t="s">
        <v>601</v>
      </c>
      <c r="N69" s="12" t="s">
        <v>30</v>
      </c>
      <c r="O69" s="6" t="s">
        <v>635</v>
      </c>
      <c r="P69" s="6"/>
      <c r="Q69" s="6" t="s">
        <v>631</v>
      </c>
      <c r="R69" s="6" t="s">
        <v>32</v>
      </c>
      <c r="S69" s="6" t="s">
        <v>120</v>
      </c>
      <c r="T69" s="6" t="s">
        <v>636</v>
      </c>
      <c r="U69" s="6" t="s">
        <v>205</v>
      </c>
      <c r="V69" s="6" t="s">
        <v>637</v>
      </c>
      <c r="W69" s="6" t="s">
        <v>48</v>
      </c>
      <c r="X69" s="6" t="s">
        <v>606</v>
      </c>
      <c r="Y69" s="6" t="s">
        <v>607</v>
      </c>
    </row>
    <row r="70" ht="33.05" customHeight="1" spans="1:25">
      <c r="A70" s="6" t="s">
        <v>638</v>
      </c>
      <c r="B70" s="7" t="s">
        <v>638</v>
      </c>
      <c r="C70" s="8"/>
      <c r="D70" s="6">
        <v>16</v>
      </c>
      <c r="E70" s="6">
        <v>1</v>
      </c>
      <c r="F70" s="9" t="s">
        <v>639</v>
      </c>
      <c r="G70" s="6" t="str">
        <f t="shared" si="2"/>
        <v>奈良県天理市柳本町2537奈良県天理市柳本町2537</v>
      </c>
      <c r="H70" s="6" t="s">
        <v>640</v>
      </c>
      <c r="I70" s="6" t="s">
        <v>641</v>
      </c>
      <c r="J70" s="6" t="s">
        <v>57</v>
      </c>
      <c r="K70" s="6" t="str">
        <f t="shared" si="3"/>
        <v> 中央区内本町2‐3‐8　ダイアパレスビル本町 1006ミズイシテクノロジー</v>
      </c>
      <c r="L70" s="6"/>
      <c r="M70" s="6" t="s">
        <v>58</v>
      </c>
      <c r="N70" s="12" t="s">
        <v>30</v>
      </c>
      <c r="O70" s="6" t="s">
        <v>642</v>
      </c>
      <c r="P70" s="6"/>
      <c r="Q70" s="6" t="s">
        <v>638</v>
      </c>
      <c r="R70" s="6" t="s">
        <v>287</v>
      </c>
      <c r="S70" s="6" t="s">
        <v>643</v>
      </c>
      <c r="T70" s="6" t="s">
        <v>644</v>
      </c>
      <c r="U70" s="6"/>
      <c r="V70" s="6" t="s">
        <v>645</v>
      </c>
      <c r="W70" s="6"/>
      <c r="X70" s="6"/>
      <c r="Y70" s="6" t="s">
        <v>64</v>
      </c>
    </row>
    <row r="71" ht="33.05" customHeight="1" spans="1:25">
      <c r="A71" s="6" t="s">
        <v>646</v>
      </c>
      <c r="B71" s="7" t="s">
        <v>646</v>
      </c>
      <c r="C71" s="8">
        <v>45836</v>
      </c>
      <c r="D71" s="6">
        <v>0</v>
      </c>
      <c r="E71" s="6">
        <v>1</v>
      </c>
      <c r="F71" s="9" t="s">
        <v>647</v>
      </c>
      <c r="G71" s="6" t="str">
        <f t="shared" si="2"/>
        <v>北海道広尾郡広尾町茂寄127-4北海道広尾郡広尾町茂寄127-4</v>
      </c>
      <c r="H71" s="6" t="s">
        <v>648</v>
      </c>
      <c r="I71" s="6" t="s">
        <v>649</v>
      </c>
      <c r="J71" s="6" t="s">
        <v>600</v>
      </c>
      <c r="K71" s="6" t="str">
        <f t="shared" si="3"/>
        <v>大阪府大阪市 敷津東３－５－１－１５１４号</v>
      </c>
      <c r="L71" s="6"/>
      <c r="M71" s="6" t="s">
        <v>601</v>
      </c>
      <c r="N71" s="12" t="s">
        <v>30</v>
      </c>
      <c r="O71" s="6" t="s">
        <v>602</v>
      </c>
      <c r="P71" s="6"/>
      <c r="Q71" s="6" t="s">
        <v>646</v>
      </c>
      <c r="R71" s="6" t="s">
        <v>331</v>
      </c>
      <c r="S71" s="6" t="s">
        <v>650</v>
      </c>
      <c r="T71" s="6" t="s">
        <v>651</v>
      </c>
      <c r="U71" s="6" t="s">
        <v>205</v>
      </c>
      <c r="V71" s="6" t="s">
        <v>652</v>
      </c>
      <c r="W71" s="6" t="s">
        <v>48</v>
      </c>
      <c r="X71" s="6" t="s">
        <v>606</v>
      </c>
      <c r="Y71" s="6" t="s">
        <v>607</v>
      </c>
    </row>
    <row r="72" ht="33.05" customHeight="1" spans="1:25">
      <c r="A72" s="6" t="s">
        <v>653</v>
      </c>
      <c r="B72" s="7" t="s">
        <v>653</v>
      </c>
      <c r="C72" s="8"/>
      <c r="D72" s="6">
        <v>0</v>
      </c>
      <c r="E72" s="6">
        <v>1</v>
      </c>
      <c r="F72" s="9" t="s">
        <v>654</v>
      </c>
      <c r="G72" s="6" t="str">
        <f t="shared" si="2"/>
        <v>大阪府寝屋川市太秦東が丘21-11大阪府寝屋川市太秦東が丘21-11</v>
      </c>
      <c r="H72" s="6" t="s">
        <v>655</v>
      </c>
      <c r="I72" s="6" t="s">
        <v>656</v>
      </c>
      <c r="J72" s="6" t="s">
        <v>180</v>
      </c>
      <c r="K72" s="6" t="str">
        <f t="shared" si="3"/>
        <v> 内本町2‐3‐8</v>
      </c>
      <c r="L72" s="6"/>
      <c r="M72" s="6" t="s">
        <v>158</v>
      </c>
      <c r="N72" s="12" t="s">
        <v>30</v>
      </c>
      <c r="O72" s="6" t="s">
        <v>657</v>
      </c>
      <c r="P72" s="6"/>
      <c r="Q72" s="6" t="s">
        <v>653</v>
      </c>
      <c r="R72" s="6" t="s">
        <v>48</v>
      </c>
      <c r="S72" s="6" t="s">
        <v>658</v>
      </c>
      <c r="T72" s="6" t="s">
        <v>659</v>
      </c>
      <c r="U72" s="6"/>
      <c r="V72" s="6" t="s">
        <v>660</v>
      </c>
      <c r="W72" s="6"/>
      <c r="X72" s="6"/>
      <c r="Y72" s="6" t="s">
        <v>164</v>
      </c>
    </row>
    <row r="73" ht="33.05" customHeight="1" spans="1:25">
      <c r="A73" s="6" t="s">
        <v>661</v>
      </c>
      <c r="B73" s="7" t="s">
        <v>661</v>
      </c>
      <c r="C73" s="8"/>
      <c r="D73" s="6">
        <v>1</v>
      </c>
      <c r="E73" s="6">
        <v>1</v>
      </c>
      <c r="F73" s="9" t="s">
        <v>662</v>
      </c>
      <c r="G73" s="6" t="str">
        <f t="shared" si="2"/>
        <v>兵庫県西宮市名次町4-12むくの木ビル1F はなおか鍼灸整骨院兵庫県西宮市名次町4-12むくの木ビル1Fはなおか鍼灸整骨院</v>
      </c>
      <c r="H73" s="6" t="s">
        <v>663</v>
      </c>
      <c r="I73" s="6" t="s">
        <v>664</v>
      </c>
      <c r="J73" s="6" t="s">
        <v>180</v>
      </c>
      <c r="K73" s="6" t="str">
        <f t="shared" si="3"/>
        <v> 内本町2‐3‐8</v>
      </c>
      <c r="L73" s="6"/>
      <c r="M73" s="6" t="s">
        <v>158</v>
      </c>
      <c r="N73" s="12" t="s">
        <v>30</v>
      </c>
      <c r="O73" s="6" t="s">
        <v>657</v>
      </c>
      <c r="P73" s="6"/>
      <c r="Q73" s="6" t="s">
        <v>661</v>
      </c>
      <c r="R73" s="6" t="s">
        <v>207</v>
      </c>
      <c r="S73" s="6" t="s">
        <v>665</v>
      </c>
      <c r="T73" s="6" t="s">
        <v>666</v>
      </c>
      <c r="U73" s="6"/>
      <c r="V73" s="6" t="s">
        <v>667</v>
      </c>
      <c r="W73" s="6"/>
      <c r="X73" s="6"/>
      <c r="Y73" s="6" t="s">
        <v>164</v>
      </c>
    </row>
    <row r="74" ht="33.05" customHeight="1" spans="1:25">
      <c r="A74" s="6" t="s">
        <v>668</v>
      </c>
      <c r="B74" s="7" t="s">
        <v>668</v>
      </c>
      <c r="C74" s="8"/>
      <c r="D74" s="6">
        <v>0</v>
      </c>
      <c r="E74" s="6">
        <v>1</v>
      </c>
      <c r="F74" s="9" t="s">
        <v>669</v>
      </c>
      <c r="G74" s="6" t="str">
        <f t="shared" si="2"/>
        <v>静岡県掛川市下俣南2-23-5 松浦アパート505静岡県掛川市下俣南2-23-5松浦アパート505</v>
      </c>
      <c r="H74" s="6" t="s">
        <v>670</v>
      </c>
      <c r="I74" s="6" t="s">
        <v>671</v>
      </c>
      <c r="J74" s="6" t="s">
        <v>57</v>
      </c>
      <c r="K74" s="6" t="str">
        <f t="shared" si="3"/>
        <v> 中央区内本町2‐3‐8　ダイアパレスビル本町 1006ミズイシテクノロジー</v>
      </c>
      <c r="L74" s="6"/>
      <c r="M74" s="6" t="s">
        <v>58</v>
      </c>
      <c r="N74" s="12" t="s">
        <v>30</v>
      </c>
      <c r="O74" s="6" t="s">
        <v>672</v>
      </c>
      <c r="P74" s="6"/>
      <c r="Q74" s="6" t="s">
        <v>668</v>
      </c>
      <c r="R74" s="6" t="s">
        <v>202</v>
      </c>
      <c r="S74" s="6" t="s">
        <v>673</v>
      </c>
      <c r="T74" s="6" t="s">
        <v>674</v>
      </c>
      <c r="U74" s="6"/>
      <c r="V74" s="6" t="s">
        <v>675</v>
      </c>
      <c r="W74" s="6"/>
      <c r="X74" s="6"/>
      <c r="Y74" s="6" t="s">
        <v>64</v>
      </c>
    </row>
    <row r="75" ht="33.05" customHeight="1" spans="1:25">
      <c r="A75" s="6" t="s">
        <v>676</v>
      </c>
      <c r="B75" s="7" t="s">
        <v>676</v>
      </c>
      <c r="C75" s="8"/>
      <c r="D75" s="6">
        <v>0</v>
      </c>
      <c r="E75" s="6">
        <v>1</v>
      </c>
      <c r="F75" s="9" t="s">
        <v>677</v>
      </c>
      <c r="G75" s="6" t="str">
        <f t="shared" si="2"/>
        <v>鹿児島県鹿児島市紫原3丁目58-18（16:00-18:00配達希望）鹿児島県鹿児島市紫原3丁目58-18（16:00-18:00配達希望）</v>
      </c>
      <c r="H75" s="6" t="s">
        <v>678</v>
      </c>
      <c r="I75" s="6" t="s">
        <v>679</v>
      </c>
      <c r="J75" s="6" t="s">
        <v>45</v>
      </c>
      <c r="K75" s="6" t="str">
        <f t="shared" si="3"/>
        <v> 東京都稲城市平尾１－１４－１７</v>
      </c>
      <c r="L75" s="6"/>
      <c r="M75" s="6" t="s">
        <v>46</v>
      </c>
      <c r="N75" s="12" t="s">
        <v>30</v>
      </c>
      <c r="O75" s="6" t="s">
        <v>680</v>
      </c>
      <c r="P75" s="6"/>
      <c r="Q75" s="6" t="s">
        <v>676</v>
      </c>
      <c r="R75" s="6" t="s">
        <v>494</v>
      </c>
      <c r="S75" s="6" t="s">
        <v>681</v>
      </c>
      <c r="T75" s="6" t="s">
        <v>682</v>
      </c>
      <c r="U75" s="6"/>
      <c r="V75" s="6" t="s">
        <v>683</v>
      </c>
      <c r="W75" s="6"/>
      <c r="X75" s="6"/>
      <c r="Y75" s="6" t="s">
        <v>52</v>
      </c>
    </row>
    <row r="76" ht="33.05" customHeight="1" spans="1:25">
      <c r="A76" s="6" t="s">
        <v>684</v>
      </c>
      <c r="B76" s="7" t="s">
        <v>684</v>
      </c>
      <c r="C76" s="8">
        <v>45840</v>
      </c>
      <c r="D76" s="6">
        <v>0</v>
      </c>
      <c r="E76" s="6">
        <v>1</v>
      </c>
      <c r="F76" s="9" t="s">
        <v>685</v>
      </c>
      <c r="G76" s="6" t="str">
        <f t="shared" si="2"/>
        <v>神奈川県綾瀬市上土棚北2-8-29-1神奈川県綾瀬市上土棚北2-8-29-1</v>
      </c>
      <c r="H76" s="6" t="s">
        <v>686</v>
      </c>
      <c r="I76" s="6" t="s">
        <v>687</v>
      </c>
      <c r="J76" s="6" t="s">
        <v>128</v>
      </c>
      <c r="K76" s="6" t="str">
        <f t="shared" si="3"/>
        <v> 東京都品川区平塚1-13-1</v>
      </c>
      <c r="L76" s="6"/>
      <c r="M76" s="6" t="s">
        <v>129</v>
      </c>
      <c r="N76" s="12" t="s">
        <v>30</v>
      </c>
      <c r="O76" s="6" t="s">
        <v>688</v>
      </c>
      <c r="P76" s="6"/>
      <c r="Q76" s="6" t="s">
        <v>684</v>
      </c>
      <c r="R76" s="6" t="s">
        <v>82</v>
      </c>
      <c r="S76" s="6" t="s">
        <v>689</v>
      </c>
      <c r="T76" s="6" t="s">
        <v>690</v>
      </c>
      <c r="U76" s="6"/>
      <c r="V76" s="6" t="s">
        <v>691</v>
      </c>
      <c r="W76" s="6"/>
      <c r="X76" s="6"/>
      <c r="Y76" s="6" t="s">
        <v>134</v>
      </c>
    </row>
    <row r="77" ht="33.05" customHeight="1" spans="1:25">
      <c r="A77" s="6" t="s">
        <v>692</v>
      </c>
      <c r="B77" s="7" t="s">
        <v>692</v>
      </c>
      <c r="C77" s="8">
        <v>45840</v>
      </c>
      <c r="D77" s="6">
        <v>0</v>
      </c>
      <c r="E77" s="6">
        <v>1</v>
      </c>
      <c r="F77" s="9" t="s">
        <v>693</v>
      </c>
      <c r="G77" s="6" t="str">
        <f t="shared" si="2"/>
        <v>東京都練馬区大泉学園町4-9-9 パストラル103号室東京都練馬区大泉学園町4-9-9パストラル103号室</v>
      </c>
      <c r="H77" s="6" t="s">
        <v>694</v>
      </c>
      <c r="I77" s="6" t="s">
        <v>695</v>
      </c>
      <c r="J77" s="6" t="s">
        <v>180</v>
      </c>
      <c r="K77" s="6" t="str">
        <f t="shared" si="3"/>
        <v> 内本町2‐3‐8</v>
      </c>
      <c r="L77" s="6"/>
      <c r="M77" s="6" t="s">
        <v>158</v>
      </c>
      <c r="N77" s="12" t="s">
        <v>30</v>
      </c>
      <c r="O77" s="6" t="s">
        <v>612</v>
      </c>
      <c r="P77" s="6"/>
      <c r="Q77" s="6" t="s">
        <v>692</v>
      </c>
      <c r="R77" s="6" t="s">
        <v>32</v>
      </c>
      <c r="S77" s="6" t="s">
        <v>696</v>
      </c>
      <c r="T77" s="6" t="s">
        <v>697</v>
      </c>
      <c r="U77" s="6"/>
      <c r="V77" s="6" t="s">
        <v>698</v>
      </c>
      <c r="W77" s="6"/>
      <c r="X77" s="6"/>
      <c r="Y77" s="6" t="s">
        <v>164</v>
      </c>
    </row>
    <row r="78" ht="33.05" customHeight="1" spans="1:25">
      <c r="A78" s="6" t="s">
        <v>699</v>
      </c>
      <c r="B78" s="7" t="s">
        <v>699</v>
      </c>
      <c r="C78" s="8">
        <v>45840</v>
      </c>
      <c r="D78" s="6">
        <v>1</v>
      </c>
      <c r="E78" s="6">
        <v>1</v>
      </c>
      <c r="F78" s="9" t="s">
        <v>700</v>
      </c>
      <c r="G78" s="6" t="str">
        <f t="shared" si="2"/>
        <v>香川県高松市多肥上町13 フォブールアベリアB202香川県高松市多肥上町13フォブールアベリアB202</v>
      </c>
      <c r="H78" s="6" t="s">
        <v>701</v>
      </c>
      <c r="I78" s="6" t="s">
        <v>702</v>
      </c>
      <c r="J78" s="6" t="s">
        <v>180</v>
      </c>
      <c r="K78" s="6" t="str">
        <f t="shared" si="3"/>
        <v> 内本町2‐3‐8</v>
      </c>
      <c r="L78" s="6"/>
      <c r="M78" s="6" t="s">
        <v>158</v>
      </c>
      <c r="N78" s="12" t="s">
        <v>30</v>
      </c>
      <c r="O78" s="6" t="s">
        <v>251</v>
      </c>
      <c r="P78" s="6"/>
      <c r="Q78" s="6" t="s">
        <v>699</v>
      </c>
      <c r="R78" s="6" t="s">
        <v>388</v>
      </c>
      <c r="S78" s="6" t="s">
        <v>389</v>
      </c>
      <c r="T78" s="6" t="s">
        <v>703</v>
      </c>
      <c r="U78" s="6"/>
      <c r="V78" s="6" t="s">
        <v>704</v>
      </c>
      <c r="W78" s="6"/>
      <c r="X78" s="6"/>
      <c r="Y78" s="6" t="s">
        <v>164</v>
      </c>
    </row>
    <row r="79" ht="33.05" customHeight="1" spans="1:25">
      <c r="A79" s="6" t="s">
        <v>705</v>
      </c>
      <c r="B79" s="7" t="s">
        <v>705</v>
      </c>
      <c r="C79" s="8">
        <v>45836</v>
      </c>
      <c r="D79" s="6">
        <v>0</v>
      </c>
      <c r="E79" s="6">
        <v>1</v>
      </c>
      <c r="F79" s="9" t="s">
        <v>706</v>
      </c>
      <c r="G79" s="6" t="str">
        <f t="shared" si="2"/>
        <v>愛知県海部郡飛島村大字服岡5丁目40ー6  発送予定日：2025-06-28(土)愛知県海部郡飛島村服岡大字5丁目40ー6発送予定日：2025-06-28(土)</v>
      </c>
      <c r="H79" s="6" t="s">
        <v>707</v>
      </c>
      <c r="I79" s="6" t="s">
        <v>708</v>
      </c>
      <c r="J79" s="6" t="s">
        <v>169</v>
      </c>
      <c r="K79" s="6" t="str">
        <f t="shared" si="3"/>
        <v> 和歌山県和歌山市西釘貫丁２－５３プレミール石川５０２</v>
      </c>
      <c r="L79" s="6"/>
      <c r="M79" s="6" t="s">
        <v>170</v>
      </c>
      <c r="N79" s="12" t="s">
        <v>30</v>
      </c>
      <c r="O79" s="6" t="s">
        <v>619</v>
      </c>
      <c r="P79" s="6"/>
      <c r="Q79" s="6" t="s">
        <v>705</v>
      </c>
      <c r="R79" s="6" t="s">
        <v>342</v>
      </c>
      <c r="S79" s="6" t="s">
        <v>709</v>
      </c>
      <c r="T79" s="6" t="s">
        <v>710</v>
      </c>
      <c r="U79" s="6"/>
      <c r="V79" s="6" t="s">
        <v>711</v>
      </c>
      <c r="W79" s="6"/>
      <c r="X79" s="6"/>
      <c r="Y79" s="6" t="s">
        <v>175</v>
      </c>
    </row>
    <row r="80" ht="33.05" customHeight="1" spans="1:25">
      <c r="A80" s="6" t="s">
        <v>712</v>
      </c>
      <c r="B80" s="7" t="s">
        <v>712</v>
      </c>
      <c r="C80" s="8"/>
      <c r="D80" s="6">
        <v>19</v>
      </c>
      <c r="E80" s="6">
        <v>1</v>
      </c>
      <c r="F80" s="9" t="s">
        <v>713</v>
      </c>
      <c r="G80" s="6" t="str">
        <f t="shared" si="2"/>
        <v>愛知県春日井市東野町西2-8-18愛知県春日井市東野町西2-8-18</v>
      </c>
      <c r="H80" s="6" t="s">
        <v>714</v>
      </c>
      <c r="I80" s="6" t="s">
        <v>715</v>
      </c>
      <c r="J80" s="6" t="s">
        <v>180</v>
      </c>
      <c r="K80" s="6" t="str">
        <f t="shared" si="3"/>
        <v> 内本町2‐3‐8</v>
      </c>
      <c r="L80" s="6"/>
      <c r="M80" s="6" t="s">
        <v>158</v>
      </c>
      <c r="N80" s="12" t="s">
        <v>30</v>
      </c>
      <c r="O80" s="6" t="s">
        <v>181</v>
      </c>
      <c r="P80" s="6"/>
      <c r="Q80" s="6" t="s">
        <v>712</v>
      </c>
      <c r="R80" s="6" t="s">
        <v>342</v>
      </c>
      <c r="S80" s="6" t="s">
        <v>716</v>
      </c>
      <c r="T80" s="6" t="s">
        <v>717</v>
      </c>
      <c r="U80" s="6"/>
      <c r="V80" s="6" t="s">
        <v>718</v>
      </c>
      <c r="W80" s="6"/>
      <c r="X80" s="6"/>
      <c r="Y80" s="6" t="s">
        <v>164</v>
      </c>
    </row>
    <row r="81" ht="33.05" customHeight="1" spans="1:25">
      <c r="A81" s="6" t="s">
        <v>719</v>
      </c>
      <c r="B81" s="7" t="s">
        <v>719</v>
      </c>
      <c r="C81" s="8">
        <v>45839</v>
      </c>
      <c r="D81" s="6">
        <v>0</v>
      </c>
      <c r="E81" s="6">
        <v>1</v>
      </c>
      <c r="F81" s="9" t="s">
        <v>720</v>
      </c>
      <c r="G81" s="6" t="str">
        <f t="shared" si="2"/>
        <v>長野県茅野市北山字鹿山4026-255 からまつ台5-10-22長野県茅野市北山字鹿山4026-255からまつ台5-10-22</v>
      </c>
      <c r="H81" s="6" t="s">
        <v>721</v>
      </c>
      <c r="I81" s="6" t="s">
        <v>722</v>
      </c>
      <c r="J81" s="6" t="s">
        <v>157</v>
      </c>
      <c r="K81" s="6" t="str">
        <f t="shared" si="3"/>
        <v> 内本町2‐3‐8</v>
      </c>
      <c r="L81" s="6"/>
      <c r="M81" s="6" t="s">
        <v>158</v>
      </c>
      <c r="N81" s="12" t="s">
        <v>30</v>
      </c>
      <c r="O81" s="6" t="s">
        <v>723</v>
      </c>
      <c r="P81" s="6"/>
      <c r="Q81" s="6" t="s">
        <v>719</v>
      </c>
      <c r="R81" s="6" t="s">
        <v>235</v>
      </c>
      <c r="S81" s="6" t="s">
        <v>236</v>
      </c>
      <c r="T81" s="6" t="s">
        <v>724</v>
      </c>
      <c r="U81" s="6"/>
      <c r="V81" s="6" t="s">
        <v>725</v>
      </c>
      <c r="W81" s="6"/>
      <c r="X81" s="6"/>
      <c r="Y81" s="6" t="s">
        <v>164</v>
      </c>
    </row>
    <row r="82" ht="33.05" customHeight="1" spans="1:25">
      <c r="A82" s="6" t="s">
        <v>726</v>
      </c>
      <c r="B82" s="7" t="s">
        <v>726</v>
      </c>
      <c r="C82" s="8">
        <v>45839</v>
      </c>
      <c r="D82" s="6">
        <v>0</v>
      </c>
      <c r="E82" s="6">
        <v>1</v>
      </c>
      <c r="F82" s="9" t="s">
        <v>727</v>
      </c>
      <c r="G82" s="6" t="str">
        <f t="shared" si="2"/>
        <v>徳島県板野郡北島町鯛浜字川久保118番11徳島県板野郡北島町鯛浜字川久保118番11</v>
      </c>
      <c r="H82" s="6" t="s">
        <v>728</v>
      </c>
      <c r="I82" s="6" t="s">
        <v>729</v>
      </c>
      <c r="J82" s="6" t="s">
        <v>730</v>
      </c>
      <c r="K82" s="6" t="str">
        <f t="shared" si="3"/>
        <v> 大阪府大阪市東住吉区住道矢田七丁目１０番１３号</v>
      </c>
      <c r="L82" s="6"/>
      <c r="M82" s="6" t="s">
        <v>731</v>
      </c>
      <c r="N82" s="12" t="s">
        <v>30</v>
      </c>
      <c r="O82" s="6" t="s">
        <v>619</v>
      </c>
      <c r="P82" s="6"/>
      <c r="Q82" s="6" t="s">
        <v>726</v>
      </c>
      <c r="R82" s="6" t="s">
        <v>732</v>
      </c>
      <c r="S82" s="6" t="s">
        <v>733</v>
      </c>
      <c r="T82" s="6" t="s">
        <v>734</v>
      </c>
      <c r="U82" s="6"/>
      <c r="V82" s="6" t="s">
        <v>735</v>
      </c>
      <c r="W82" s="6"/>
      <c r="X82" s="6"/>
      <c r="Y82" s="6" t="s">
        <v>736</v>
      </c>
    </row>
    <row r="83" ht="33.05" customHeight="1" spans="1:25">
      <c r="A83" s="6" t="s">
        <v>737</v>
      </c>
      <c r="B83" s="7" t="s">
        <v>737</v>
      </c>
      <c r="C83" s="8"/>
      <c r="D83" s="6">
        <v>19</v>
      </c>
      <c r="E83" s="6">
        <v>1</v>
      </c>
      <c r="F83" s="9" t="s">
        <v>738</v>
      </c>
      <c r="G83" s="6" t="str">
        <f t="shared" si="2"/>
        <v>千葉県八街市八街は16-176千葉県八街市八街は16-176</v>
      </c>
      <c r="H83" s="6" t="s">
        <v>739</v>
      </c>
      <c r="I83" s="6" t="s">
        <v>740</v>
      </c>
      <c r="J83" s="6" t="s">
        <v>69</v>
      </c>
      <c r="K83" s="6" t="str">
        <f t="shared" si="3"/>
        <v> 東京都西多摩郡奥多摩町留浦１０１８</v>
      </c>
      <c r="L83" s="6"/>
      <c r="M83" s="6" t="s">
        <v>70</v>
      </c>
      <c r="N83" s="12" t="s">
        <v>30</v>
      </c>
      <c r="O83" s="6" t="s">
        <v>741</v>
      </c>
      <c r="P83" s="6"/>
      <c r="Q83" s="6" t="s">
        <v>737</v>
      </c>
      <c r="R83" s="6" t="s">
        <v>182</v>
      </c>
      <c r="S83" s="6" t="s">
        <v>742</v>
      </c>
      <c r="T83" s="6" t="s">
        <v>743</v>
      </c>
      <c r="U83" s="6"/>
      <c r="V83" s="6" t="s">
        <v>744</v>
      </c>
      <c r="W83" s="6"/>
      <c r="X83" s="6"/>
      <c r="Y83" s="6" t="s">
        <v>76</v>
      </c>
    </row>
    <row r="84" ht="33.05" customHeight="1" spans="1:25">
      <c r="A84" s="6" t="s">
        <v>745</v>
      </c>
      <c r="B84" s="7" t="s">
        <v>745</v>
      </c>
      <c r="C84" s="8"/>
      <c r="D84" s="6">
        <v>16</v>
      </c>
      <c r="E84" s="6">
        <v>1</v>
      </c>
      <c r="F84" s="9" t="s">
        <v>746</v>
      </c>
      <c r="G84" s="6" t="str">
        <f t="shared" si="2"/>
        <v>兵庫県神戸市兵庫区水木通4丁目2-22兵庫県神戸市兵庫区水木通4丁目2-22</v>
      </c>
      <c r="H84" s="6" t="s">
        <v>747</v>
      </c>
      <c r="I84" s="6" t="s">
        <v>748</v>
      </c>
      <c r="J84" s="6" t="s">
        <v>526</v>
      </c>
      <c r="K84" s="6" t="str">
        <f t="shared" si="3"/>
        <v> 大阪府大阪市中央区安堂寺町2-1-3-901</v>
      </c>
      <c r="L84" s="6"/>
      <c r="M84" s="6" t="s">
        <v>527</v>
      </c>
      <c r="N84" s="12" t="s">
        <v>30</v>
      </c>
      <c r="O84" s="6" t="s">
        <v>749</v>
      </c>
      <c r="P84" s="6"/>
      <c r="Q84" s="6" t="s">
        <v>745</v>
      </c>
      <c r="R84" s="6" t="s">
        <v>207</v>
      </c>
      <c r="S84" s="6" t="s">
        <v>750</v>
      </c>
      <c r="T84" s="6" t="s">
        <v>751</v>
      </c>
      <c r="U84" s="6"/>
      <c r="V84" s="6" t="s">
        <v>752</v>
      </c>
      <c r="W84" s="6"/>
      <c r="X84" s="6"/>
      <c r="Y84" s="6" t="s">
        <v>532</v>
      </c>
    </row>
    <row r="85" ht="33.05" customHeight="1" spans="1:25">
      <c r="A85" s="6" t="s">
        <v>753</v>
      </c>
      <c r="B85" s="7" t="s">
        <v>753</v>
      </c>
      <c r="C85" s="8">
        <v>45834</v>
      </c>
      <c r="D85" s="6">
        <v>18</v>
      </c>
      <c r="E85" s="6">
        <v>1</v>
      </c>
      <c r="F85" s="9" t="s">
        <v>754</v>
      </c>
      <c r="G85" s="6" t="str">
        <f t="shared" si="2"/>
        <v>愛知県岡崎市河原町18-25愛知県岡崎市河原町18-25</v>
      </c>
      <c r="H85" s="6" t="s">
        <v>755</v>
      </c>
      <c r="I85" s="6" t="s">
        <v>756</v>
      </c>
      <c r="J85" s="6" t="s">
        <v>99</v>
      </c>
      <c r="K85" s="6" t="str">
        <f t="shared" si="3"/>
        <v> 神奈川県川崎市高津区下作延２－２２－５クレイノアクアパレス２０５</v>
      </c>
      <c r="L85" s="6"/>
      <c r="M85" s="6" t="s">
        <v>100</v>
      </c>
      <c r="N85" s="12" t="s">
        <v>30</v>
      </c>
      <c r="O85" s="6" t="s">
        <v>757</v>
      </c>
      <c r="P85" s="6"/>
      <c r="Q85" s="6" t="s">
        <v>753</v>
      </c>
      <c r="R85" s="6" t="s">
        <v>342</v>
      </c>
      <c r="S85" s="6" t="s">
        <v>758</v>
      </c>
      <c r="T85" s="6" t="s">
        <v>759</v>
      </c>
      <c r="U85" s="6"/>
      <c r="V85" s="6" t="s">
        <v>760</v>
      </c>
      <c r="W85" s="6"/>
      <c r="X85" s="6"/>
      <c r="Y85" s="6" t="s">
        <v>105</v>
      </c>
    </row>
    <row r="86" ht="33.05" customHeight="1" spans="1:25">
      <c r="A86" s="6" t="s">
        <v>761</v>
      </c>
      <c r="B86" s="7" t="s">
        <v>761</v>
      </c>
      <c r="C86" s="8"/>
      <c r="D86" s="6">
        <v>16</v>
      </c>
      <c r="E86" s="6">
        <v>1</v>
      </c>
      <c r="F86" s="9" t="s">
        <v>762</v>
      </c>
      <c r="G86" s="6" t="str">
        <f t="shared" si="2"/>
        <v>大阪府堺市堺区香ヶ丘町1丁12ー20大阪府堺市堺区香ケ丘町1丁12ー20</v>
      </c>
      <c r="H86" s="6" t="s">
        <v>763</v>
      </c>
      <c r="I86" s="6" t="s">
        <v>764</v>
      </c>
      <c r="J86" s="6" t="s">
        <v>57</v>
      </c>
      <c r="K86" s="6" t="str">
        <f t="shared" si="3"/>
        <v> 中央区内本町2‐3‐8　ダイアパレスビル本町 1006ミズイシテクノロジー</v>
      </c>
      <c r="L86" s="6"/>
      <c r="M86" s="6" t="s">
        <v>58</v>
      </c>
      <c r="N86" s="12" t="s">
        <v>30</v>
      </c>
      <c r="O86" s="6" t="s">
        <v>141</v>
      </c>
      <c r="P86" s="6"/>
      <c r="Q86" s="6" t="s">
        <v>761</v>
      </c>
      <c r="R86" s="6" t="s">
        <v>48</v>
      </c>
      <c r="S86" s="6" t="s">
        <v>765</v>
      </c>
      <c r="T86" s="6" t="s">
        <v>766</v>
      </c>
      <c r="U86" s="6"/>
      <c r="V86" s="6" t="s">
        <v>767</v>
      </c>
      <c r="W86" s="6"/>
      <c r="X86" s="6"/>
      <c r="Y86" s="6" t="s">
        <v>64</v>
      </c>
    </row>
    <row r="87" ht="33.05" customHeight="1" spans="1:25">
      <c r="A87" s="6" t="s">
        <v>768</v>
      </c>
      <c r="B87" s="7" t="s">
        <v>768</v>
      </c>
      <c r="C87" s="8">
        <v>45835</v>
      </c>
      <c r="D87" s="6">
        <v>18</v>
      </c>
      <c r="E87" s="6">
        <v>1</v>
      </c>
      <c r="F87" s="9" t="s">
        <v>769</v>
      </c>
      <c r="G87" s="6" t="str">
        <f t="shared" si="2"/>
        <v>愛知県新城市平井字西浦62愛知県新城市平井字西浦62</v>
      </c>
      <c r="H87" s="6" t="s">
        <v>770</v>
      </c>
      <c r="I87" s="6" t="s">
        <v>771</v>
      </c>
      <c r="J87" s="6" t="s">
        <v>274</v>
      </c>
      <c r="K87" s="6" t="str">
        <f t="shared" si="3"/>
        <v> 大阪府富田林市平町１－４１０３－１</v>
      </c>
      <c r="L87" s="6"/>
      <c r="M87" s="6" t="s">
        <v>275</v>
      </c>
      <c r="N87" s="12" t="s">
        <v>30</v>
      </c>
      <c r="O87" s="6" t="s">
        <v>772</v>
      </c>
      <c r="P87" s="6"/>
      <c r="Q87" s="6" t="s">
        <v>768</v>
      </c>
      <c r="R87" s="6" t="s">
        <v>342</v>
      </c>
      <c r="S87" s="6" t="s">
        <v>773</v>
      </c>
      <c r="T87" s="6" t="s">
        <v>774</v>
      </c>
      <c r="U87" s="6"/>
      <c r="V87" s="6" t="s">
        <v>775</v>
      </c>
      <c r="W87" s="6"/>
      <c r="X87" s="6"/>
      <c r="Y87" s="6" t="s">
        <v>281</v>
      </c>
    </row>
    <row r="88" ht="33.05" customHeight="1" spans="1:25">
      <c r="A88" s="6" t="s">
        <v>776</v>
      </c>
      <c r="B88" s="7" t="s">
        <v>776</v>
      </c>
      <c r="C88" s="8">
        <v>45834</v>
      </c>
      <c r="D88" s="6">
        <v>0</v>
      </c>
      <c r="E88" s="6">
        <v>1</v>
      </c>
      <c r="F88" s="9" t="s">
        <v>777</v>
      </c>
      <c r="G88" s="6" t="str">
        <f t="shared" si="2"/>
        <v>岐阜県瑞浪市陶町猿爪719-30 瑞浪オーガニックファーム  配送予定日：2025-06-26(木)岐阜県瑞浪市陶町猿爪719-30瑞浪オーガニックファーム配送予定日：2025-06-26(木)</v>
      </c>
      <c r="H88" s="6" t="s">
        <v>778</v>
      </c>
      <c r="I88" s="6" t="s">
        <v>779</v>
      </c>
      <c r="J88" s="6" t="s">
        <v>169</v>
      </c>
      <c r="K88" s="6" t="str">
        <f t="shared" si="3"/>
        <v> 和歌山県和歌山市西釘貫丁２－５３プレミール石川５０２</v>
      </c>
      <c r="L88" s="6"/>
      <c r="M88" s="6" t="s">
        <v>170</v>
      </c>
      <c r="N88" s="12" t="s">
        <v>30</v>
      </c>
      <c r="O88" s="6" t="s">
        <v>780</v>
      </c>
      <c r="P88" s="6"/>
      <c r="Q88" s="6" t="s">
        <v>776</v>
      </c>
      <c r="R88" s="6" t="s">
        <v>781</v>
      </c>
      <c r="S88" s="6" t="s">
        <v>782</v>
      </c>
      <c r="T88" s="6" t="s">
        <v>783</v>
      </c>
      <c r="U88" s="6"/>
      <c r="V88" s="6" t="s">
        <v>784</v>
      </c>
      <c r="W88" s="6"/>
      <c r="X88" s="6"/>
      <c r="Y88" s="6" t="s">
        <v>175</v>
      </c>
    </row>
    <row r="89" ht="33.05" customHeight="1" spans="1:25">
      <c r="A89" s="6" t="s">
        <v>785</v>
      </c>
      <c r="B89" s="7" t="s">
        <v>785</v>
      </c>
      <c r="C89" s="8">
        <v>45836</v>
      </c>
      <c r="D89" s="6">
        <v>1</v>
      </c>
      <c r="E89" s="6">
        <v>1</v>
      </c>
      <c r="F89" s="9" t="s">
        <v>786</v>
      </c>
      <c r="G89" s="6" t="str">
        <f t="shared" si="2"/>
        <v>東京都葛飾区堀切3-4-10 アゼスト堀切菖蒲園II 403号室東京都葛飾区堀切3-4-10アゼスト堀切菖蒲園II403号室</v>
      </c>
      <c r="H89" s="6" t="s">
        <v>787</v>
      </c>
      <c r="I89" s="6" t="s">
        <v>788</v>
      </c>
      <c r="J89" s="6" t="s">
        <v>99</v>
      </c>
      <c r="K89" s="6" t="str">
        <f t="shared" si="3"/>
        <v> 神奈川県川崎市高津区下作延２－２２－５クレイノアクアパレス２０５</v>
      </c>
      <c r="L89" s="6"/>
      <c r="M89" s="6" t="s">
        <v>100</v>
      </c>
      <c r="N89" s="12" t="s">
        <v>30</v>
      </c>
      <c r="O89" s="6" t="s">
        <v>789</v>
      </c>
      <c r="P89" s="6"/>
      <c r="Q89" s="6" t="s">
        <v>785</v>
      </c>
      <c r="R89" s="6" t="s">
        <v>32</v>
      </c>
      <c r="S89" s="6" t="s">
        <v>790</v>
      </c>
      <c r="T89" s="6" t="s">
        <v>791</v>
      </c>
      <c r="U89" s="6"/>
      <c r="V89" s="6" t="s">
        <v>792</v>
      </c>
      <c r="W89" s="6"/>
      <c r="X89" s="6"/>
      <c r="Y89" s="6" t="s">
        <v>105</v>
      </c>
    </row>
    <row r="90" ht="33.05" customHeight="1" spans="1:25">
      <c r="A90" s="6" t="s">
        <v>793</v>
      </c>
      <c r="B90" s="7" t="s">
        <v>793</v>
      </c>
      <c r="C90" s="8">
        <v>45836</v>
      </c>
      <c r="D90" s="6">
        <v>0</v>
      </c>
      <c r="E90" s="6">
        <v>1</v>
      </c>
      <c r="F90" s="9" t="s">
        <v>794</v>
      </c>
      <c r="G90" s="6" t="str">
        <f t="shared" si="2"/>
        <v>兵庫県川辺郡猪名川町紫合字北裏762兵庫県川辺郡猪名川町紫合字北裏762</v>
      </c>
      <c r="H90" s="6" t="s">
        <v>795</v>
      </c>
      <c r="I90" s="6" t="s">
        <v>796</v>
      </c>
      <c r="J90" s="6" t="s">
        <v>214</v>
      </c>
      <c r="K90" s="6" t="str">
        <f t="shared" si="3"/>
        <v> 山形県山形市上町２－９－５</v>
      </c>
      <c r="L90" s="6"/>
      <c r="M90" s="6" t="s">
        <v>215</v>
      </c>
      <c r="N90" s="12" t="s">
        <v>30</v>
      </c>
      <c r="O90" s="6" t="s">
        <v>797</v>
      </c>
      <c r="P90" s="6"/>
      <c r="Q90" s="6" t="s">
        <v>793</v>
      </c>
      <c r="R90" s="6" t="s">
        <v>207</v>
      </c>
      <c r="S90" s="6" t="s">
        <v>798</v>
      </c>
      <c r="T90" s="6" t="s">
        <v>799</v>
      </c>
      <c r="U90" s="6"/>
      <c r="V90" s="6" t="s">
        <v>800</v>
      </c>
      <c r="W90" s="6"/>
      <c r="X90" s="6"/>
      <c r="Y90" s="6" t="s">
        <v>221</v>
      </c>
    </row>
    <row r="91" ht="33.05" customHeight="1" spans="1:25">
      <c r="A91" s="6" t="s">
        <v>801</v>
      </c>
      <c r="B91" s="7" t="s">
        <v>801</v>
      </c>
      <c r="C91" s="8"/>
      <c r="D91" s="6">
        <v>18</v>
      </c>
      <c r="E91" s="6">
        <v>1</v>
      </c>
      <c r="F91" s="9" t="s">
        <v>802</v>
      </c>
      <c r="G91" s="6" t="str">
        <f t="shared" si="2"/>
        <v>三重県伊賀市川東1716三重県伊賀市川東1716</v>
      </c>
      <c r="H91" s="6" t="s">
        <v>803</v>
      </c>
      <c r="I91" s="6" t="s">
        <v>804</v>
      </c>
      <c r="J91" s="6" t="s">
        <v>99</v>
      </c>
      <c r="K91" s="6" t="str">
        <f t="shared" si="3"/>
        <v> 神奈川県川崎市高津区下作延２－２２－５クレイノアクアパレス２０５</v>
      </c>
      <c r="L91" s="6"/>
      <c r="M91" s="6" t="s">
        <v>100</v>
      </c>
      <c r="N91" s="12" t="s">
        <v>30</v>
      </c>
      <c r="O91" s="6" t="s">
        <v>101</v>
      </c>
      <c r="P91" s="6"/>
      <c r="Q91" s="6" t="s">
        <v>801</v>
      </c>
      <c r="R91" s="6" t="s">
        <v>191</v>
      </c>
      <c r="S91" s="6" t="s">
        <v>805</v>
      </c>
      <c r="T91" s="6" t="s">
        <v>806</v>
      </c>
      <c r="U91" s="6"/>
      <c r="V91" s="6" t="s">
        <v>807</v>
      </c>
      <c r="W91" s="6"/>
      <c r="X91" s="6"/>
      <c r="Y91" s="6" t="s">
        <v>105</v>
      </c>
    </row>
    <row r="92" ht="33.05" customHeight="1" spans="1:25">
      <c r="A92" s="6" t="s">
        <v>808</v>
      </c>
      <c r="B92" s="7" t="s">
        <v>808</v>
      </c>
      <c r="C92" s="8"/>
      <c r="D92" s="6">
        <v>19</v>
      </c>
      <c r="E92" s="6">
        <v>1</v>
      </c>
      <c r="F92" s="9" t="s">
        <v>809</v>
      </c>
      <c r="G92" s="6" t="str">
        <f t="shared" si="2"/>
        <v>埼玉県志木市中宗岡3-15-37埼玉県志木市中宗岡3-15-37</v>
      </c>
      <c r="H92" s="6" t="s">
        <v>810</v>
      </c>
      <c r="I92" s="6" t="s">
        <v>811</v>
      </c>
      <c r="J92" s="6" t="s">
        <v>117</v>
      </c>
      <c r="K92" s="6" t="str">
        <f t="shared" si="3"/>
        <v> 東京都大田区上池台３－２４－１４スターハイツ洗足池２　２０２</v>
      </c>
      <c r="L92" s="6"/>
      <c r="M92" s="6" t="s">
        <v>118</v>
      </c>
      <c r="N92" s="12" t="s">
        <v>30</v>
      </c>
      <c r="O92" s="6" t="s">
        <v>314</v>
      </c>
      <c r="P92" s="6"/>
      <c r="Q92" s="6" t="s">
        <v>808</v>
      </c>
      <c r="R92" s="6" t="s">
        <v>812</v>
      </c>
      <c r="S92" s="6" t="s">
        <v>813</v>
      </c>
      <c r="T92" s="6" t="s">
        <v>814</v>
      </c>
      <c r="U92" s="6"/>
      <c r="V92" s="6" t="s">
        <v>815</v>
      </c>
      <c r="W92" s="6"/>
      <c r="X92" s="6"/>
      <c r="Y92" s="6" t="s">
        <v>123</v>
      </c>
    </row>
    <row r="93" ht="33.05" customHeight="1" spans="1:25">
      <c r="A93" s="6" t="s">
        <v>816</v>
      </c>
      <c r="B93" s="7" t="s">
        <v>816</v>
      </c>
      <c r="C93" s="8"/>
      <c r="D93" s="6">
        <v>1</v>
      </c>
      <c r="E93" s="6">
        <v>1</v>
      </c>
      <c r="F93" s="9" t="s">
        <v>817</v>
      </c>
      <c r="G93" s="6" t="str">
        <f t="shared" si="2"/>
        <v>東京都千代田区内神田1-3-3 2階 日本経営合理化協会東京都千代田区内神田1-3-32階日本経営合理化協会</v>
      </c>
      <c r="H93" s="6" t="s">
        <v>818</v>
      </c>
      <c r="I93" s="6" t="s">
        <v>819</v>
      </c>
      <c r="J93" s="6" t="s">
        <v>526</v>
      </c>
      <c r="K93" s="6" t="str">
        <f t="shared" si="3"/>
        <v> 大阪府大阪市中央区安堂寺町2-1-3-901</v>
      </c>
      <c r="L93" s="6"/>
      <c r="M93" s="6" t="s">
        <v>527</v>
      </c>
      <c r="N93" s="12" t="s">
        <v>30</v>
      </c>
      <c r="O93" s="6" t="s">
        <v>820</v>
      </c>
      <c r="P93" s="6"/>
      <c r="Q93" s="6" t="s">
        <v>816</v>
      </c>
      <c r="R93" s="6" t="s">
        <v>32</v>
      </c>
      <c r="S93" s="6" t="s">
        <v>821</v>
      </c>
      <c r="T93" s="6" t="s">
        <v>822</v>
      </c>
      <c r="U93" s="6"/>
      <c r="V93" s="6" t="s">
        <v>823</v>
      </c>
      <c r="W93" s="6"/>
      <c r="X93" s="6"/>
      <c r="Y93" s="6" t="s">
        <v>532</v>
      </c>
    </row>
    <row r="94" ht="33.05" customHeight="1" spans="1:25">
      <c r="A94" s="6" t="s">
        <v>824</v>
      </c>
      <c r="B94" s="7" t="s">
        <v>824</v>
      </c>
      <c r="C94" s="8">
        <v>45836</v>
      </c>
      <c r="D94" s="6">
        <v>16</v>
      </c>
      <c r="E94" s="6">
        <v>1</v>
      </c>
      <c r="F94" s="9" t="s">
        <v>825</v>
      </c>
      <c r="G94" s="6" t="str">
        <f t="shared" si="2"/>
        <v>埼玉県羽生市東3-36-1埼玉県羽生市東3-36-1</v>
      </c>
      <c r="H94" s="6" t="s">
        <v>826</v>
      </c>
      <c r="I94" s="6" t="s">
        <v>827</v>
      </c>
      <c r="J94" s="6" t="s">
        <v>180</v>
      </c>
      <c r="K94" s="6" t="str">
        <f t="shared" si="3"/>
        <v> 内本町2‐3‐8</v>
      </c>
      <c r="L94" s="6"/>
      <c r="M94" s="6" t="s">
        <v>158</v>
      </c>
      <c r="N94" s="12" t="s">
        <v>30</v>
      </c>
      <c r="O94" s="6" t="s">
        <v>828</v>
      </c>
      <c r="P94" s="6"/>
      <c r="Q94" s="6" t="s">
        <v>824</v>
      </c>
      <c r="R94" s="6" t="s">
        <v>812</v>
      </c>
      <c r="S94" s="6" t="s">
        <v>829</v>
      </c>
      <c r="T94" s="6" t="s">
        <v>830</v>
      </c>
      <c r="U94" s="6"/>
      <c r="V94" s="6" t="s">
        <v>831</v>
      </c>
      <c r="W94" s="6"/>
      <c r="X94" s="6"/>
      <c r="Y94" s="6" t="s">
        <v>164</v>
      </c>
    </row>
    <row r="95" ht="33.05" customHeight="1" spans="1:25">
      <c r="A95" s="6" t="s">
        <v>832</v>
      </c>
      <c r="B95" s="7" t="s">
        <v>832</v>
      </c>
      <c r="C95" s="8">
        <v>45839</v>
      </c>
      <c r="D95" s="6">
        <v>16</v>
      </c>
      <c r="E95" s="6">
        <v>1</v>
      </c>
      <c r="F95" s="9" t="s">
        <v>833</v>
      </c>
      <c r="G95" s="6" t="str">
        <f t="shared" si="2"/>
        <v>兵庫県神戸市西区伊川谷町上脇1006-171兵庫県神戸市西区伊川谷町上脇1006-171</v>
      </c>
      <c r="H95" s="6" t="s">
        <v>834</v>
      </c>
      <c r="I95" s="6" t="s">
        <v>835</v>
      </c>
      <c r="J95" s="6" t="s">
        <v>57</v>
      </c>
      <c r="K95" s="6" t="str">
        <f t="shared" si="3"/>
        <v> 中央区内本町2‐3‐8　ダイアパレスビル本町 1006ミズイシテクノロジー</v>
      </c>
      <c r="L95" s="6"/>
      <c r="M95" s="6" t="s">
        <v>58</v>
      </c>
      <c r="N95" s="12" t="s">
        <v>30</v>
      </c>
      <c r="O95" s="6" t="s">
        <v>836</v>
      </c>
      <c r="P95" s="6"/>
      <c r="Q95" s="6" t="s">
        <v>832</v>
      </c>
      <c r="R95" s="6" t="s">
        <v>207</v>
      </c>
      <c r="S95" s="6" t="s">
        <v>502</v>
      </c>
      <c r="T95" s="6" t="s">
        <v>837</v>
      </c>
      <c r="U95" s="6"/>
      <c r="V95" s="6" t="s">
        <v>838</v>
      </c>
      <c r="W95" s="6"/>
      <c r="X95" s="6"/>
      <c r="Y95" s="6" t="s">
        <v>64</v>
      </c>
    </row>
    <row r="96" ht="33.05" customHeight="1" spans="1:25">
      <c r="A96" s="6" t="s">
        <v>839</v>
      </c>
      <c r="B96" s="7" t="s">
        <v>839</v>
      </c>
      <c r="C96" s="8">
        <v>45836</v>
      </c>
      <c r="D96" s="6">
        <v>16</v>
      </c>
      <c r="E96" s="6">
        <v>1</v>
      </c>
      <c r="F96" s="9" t="s">
        <v>840</v>
      </c>
      <c r="G96" s="6" t="str">
        <f t="shared" si="2"/>
        <v>岡山県倉敷市西田649-4岡山県倉敷市西田649-4</v>
      </c>
      <c r="H96" s="6" t="s">
        <v>841</v>
      </c>
      <c r="I96" s="6" t="s">
        <v>842</v>
      </c>
      <c r="J96" s="6" t="s">
        <v>180</v>
      </c>
      <c r="K96" s="6" t="str">
        <f t="shared" si="3"/>
        <v> 内本町2‐3‐8</v>
      </c>
      <c r="L96" s="6"/>
      <c r="M96" s="6" t="s">
        <v>158</v>
      </c>
      <c r="N96" s="12" t="s">
        <v>30</v>
      </c>
      <c r="O96" s="6" t="s">
        <v>843</v>
      </c>
      <c r="P96" s="6"/>
      <c r="Q96" s="6" t="s">
        <v>839</v>
      </c>
      <c r="R96" s="6" t="s">
        <v>438</v>
      </c>
      <c r="S96" s="6" t="s">
        <v>439</v>
      </c>
      <c r="T96" s="6" t="s">
        <v>844</v>
      </c>
      <c r="U96" s="6"/>
      <c r="V96" s="6" t="s">
        <v>845</v>
      </c>
      <c r="W96" s="6"/>
      <c r="X96" s="6"/>
      <c r="Y96" s="6" t="s">
        <v>164</v>
      </c>
    </row>
    <row r="97" ht="33.05" customHeight="1" spans="1:25">
      <c r="A97" s="6" t="s">
        <v>846</v>
      </c>
      <c r="B97" s="7" t="s">
        <v>846</v>
      </c>
      <c r="C97" s="8">
        <v>45833</v>
      </c>
      <c r="D97" s="6">
        <v>0</v>
      </c>
      <c r="E97" s="6">
        <v>1</v>
      </c>
      <c r="F97" s="9" t="s">
        <v>847</v>
      </c>
      <c r="G97" s="6" t="str">
        <f t="shared" si="2"/>
        <v>埼玉県大里郡寄居町寄居 1445-6 ビューティー トパーズ埼玉県大里郡寄居町寄居1445-6ビューティートパーズ</v>
      </c>
      <c r="H97" s="6" t="s">
        <v>848</v>
      </c>
      <c r="I97" s="6" t="s">
        <v>849</v>
      </c>
      <c r="J97" s="6" t="s">
        <v>199</v>
      </c>
      <c r="K97" s="6" t="str">
        <f t="shared" si="3"/>
        <v>兵庫県尼崎市 南塚口町４－２－２０－３０３号</v>
      </c>
      <c r="L97" s="6"/>
      <c r="M97" s="6" t="s">
        <v>200</v>
      </c>
      <c r="N97" s="12" t="s">
        <v>30</v>
      </c>
      <c r="O97" s="6" t="s">
        <v>850</v>
      </c>
      <c r="P97" s="6"/>
      <c r="Q97" s="6" t="s">
        <v>846</v>
      </c>
      <c r="R97" s="6" t="s">
        <v>812</v>
      </c>
      <c r="S97" s="6" t="s">
        <v>851</v>
      </c>
      <c r="T97" s="6" t="s">
        <v>852</v>
      </c>
      <c r="U97" s="6" t="s">
        <v>205</v>
      </c>
      <c r="V97" s="6" t="s">
        <v>853</v>
      </c>
      <c r="W97" s="6" t="s">
        <v>207</v>
      </c>
      <c r="X97" s="6" t="s">
        <v>208</v>
      </c>
      <c r="Y97" s="6" t="s">
        <v>209</v>
      </c>
    </row>
    <row r="98" ht="33.05" customHeight="1" spans="1:25">
      <c r="A98" s="6" t="s">
        <v>854</v>
      </c>
      <c r="B98" s="7" t="s">
        <v>854</v>
      </c>
      <c r="C98" s="8">
        <v>45833</v>
      </c>
      <c r="D98" s="6">
        <v>16</v>
      </c>
      <c r="E98" s="6">
        <v>1</v>
      </c>
      <c r="F98" s="9" t="s">
        <v>855</v>
      </c>
      <c r="G98" s="6" t="str">
        <f t="shared" si="2"/>
        <v>愛知県豊川市本野町百々16-2愛知県豊川市本野町百々16-2</v>
      </c>
      <c r="H98" s="6" t="s">
        <v>856</v>
      </c>
      <c r="I98" s="6" t="s">
        <v>857</v>
      </c>
      <c r="J98" s="6" t="s">
        <v>117</v>
      </c>
      <c r="K98" s="6" t="str">
        <f t="shared" si="3"/>
        <v> 東京都大田区上池台３－２４－１４スターハイツ洗足池２　２０２</v>
      </c>
      <c r="L98" s="6"/>
      <c r="M98" s="6" t="s">
        <v>118</v>
      </c>
      <c r="N98" s="12" t="s">
        <v>30</v>
      </c>
      <c r="O98" s="6" t="s">
        <v>858</v>
      </c>
      <c r="P98" s="6"/>
      <c r="Q98" s="6" t="s">
        <v>854</v>
      </c>
      <c r="R98" s="6" t="s">
        <v>342</v>
      </c>
      <c r="S98" s="6" t="s">
        <v>859</v>
      </c>
      <c r="T98" s="6" t="s">
        <v>860</v>
      </c>
      <c r="U98" s="6"/>
      <c r="V98" s="6" t="s">
        <v>861</v>
      </c>
      <c r="W98" s="6"/>
      <c r="X98" s="6"/>
      <c r="Y98" s="6" t="s">
        <v>123</v>
      </c>
    </row>
    <row r="99" ht="33.05" customHeight="1" spans="1:25">
      <c r="A99" s="6" t="s">
        <v>862</v>
      </c>
      <c r="B99" s="7" t="s">
        <v>862</v>
      </c>
      <c r="C99" s="8">
        <v>45836</v>
      </c>
      <c r="D99" s="6">
        <v>0</v>
      </c>
      <c r="E99" s="6">
        <v>1</v>
      </c>
      <c r="F99" s="9" t="s">
        <v>863</v>
      </c>
      <c r="G99" s="6" t="str">
        <f t="shared" si="2"/>
        <v>長野県飯田市南信濃木沢1399長野県飯田市南信濃木沢1399</v>
      </c>
      <c r="H99" s="6" t="s">
        <v>864</v>
      </c>
      <c r="I99" s="6" t="s">
        <v>865</v>
      </c>
      <c r="J99" s="6" t="s">
        <v>526</v>
      </c>
      <c r="K99" s="6" t="str">
        <f t="shared" si="3"/>
        <v> 大阪府大阪市中央区安堂寺町2-1-3-901</v>
      </c>
      <c r="L99" s="6"/>
      <c r="M99" s="6" t="s">
        <v>527</v>
      </c>
      <c r="N99" s="12" t="s">
        <v>30</v>
      </c>
      <c r="O99" s="6" t="s">
        <v>866</v>
      </c>
      <c r="P99" s="6"/>
      <c r="Q99" s="6" t="s">
        <v>862</v>
      </c>
      <c r="R99" s="6" t="s">
        <v>235</v>
      </c>
      <c r="S99" s="6" t="s">
        <v>867</v>
      </c>
      <c r="T99" s="6" t="s">
        <v>868</v>
      </c>
      <c r="U99" s="6"/>
      <c r="V99" s="6" t="s">
        <v>869</v>
      </c>
      <c r="W99" s="6"/>
      <c r="X99" s="6"/>
      <c r="Y99" s="6" t="s">
        <v>532</v>
      </c>
    </row>
    <row r="100" ht="33.05" customHeight="1" spans="1:25">
      <c r="A100" s="6" t="s">
        <v>870</v>
      </c>
      <c r="B100" s="7" t="s">
        <v>870</v>
      </c>
      <c r="C100" s="8">
        <v>45839</v>
      </c>
      <c r="D100" s="6">
        <v>0</v>
      </c>
      <c r="E100" s="6">
        <v>1</v>
      </c>
      <c r="F100" s="9" t="s">
        <v>871</v>
      </c>
      <c r="G100" s="6" t="str">
        <f t="shared" si="2"/>
        <v>神奈川県横浜市金沢区六浦南3-10-7</v>
      </c>
      <c r="H100" s="6" t="s">
        <v>872</v>
      </c>
      <c r="I100" s="6" t="s">
        <v>873</v>
      </c>
      <c r="J100" s="6" t="s">
        <v>128</v>
      </c>
      <c r="K100" s="6" t="str">
        <f t="shared" si="3"/>
        <v> 東京都品川区平塚1-13-1</v>
      </c>
      <c r="L100" s="6"/>
      <c r="M100" s="6" t="s">
        <v>129</v>
      </c>
      <c r="N100" s="12" t="s">
        <v>30</v>
      </c>
      <c r="O100" s="6" t="s">
        <v>874</v>
      </c>
      <c r="P100" s="6"/>
      <c r="Q100" s="6" t="s">
        <v>870</v>
      </c>
      <c r="R100" s="6" t="s">
        <v>82</v>
      </c>
      <c r="S100" s="6" t="s">
        <v>875</v>
      </c>
      <c r="T100" s="6" t="s">
        <v>876</v>
      </c>
      <c r="U100" s="6"/>
      <c r="V100" s="6"/>
      <c r="W100" s="6"/>
      <c r="X100" s="6"/>
      <c r="Y100" s="6" t="s">
        <v>134</v>
      </c>
    </row>
    <row r="101" ht="33.05" customHeight="1" spans="1:25">
      <c r="A101" s="6" t="s">
        <v>877</v>
      </c>
      <c r="B101" s="7" t="s">
        <v>877</v>
      </c>
      <c r="C101" s="8">
        <v>45833</v>
      </c>
      <c r="D101" s="6">
        <v>18</v>
      </c>
      <c r="E101" s="6">
        <v>1</v>
      </c>
      <c r="F101" s="9" t="s">
        <v>878</v>
      </c>
      <c r="G101" s="6" t="str">
        <f t="shared" si="2"/>
        <v>福井県丹生郡越前町越前町青野15-10福井県丹生郡越前町青野越前町15-10</v>
      </c>
      <c r="H101" s="6" t="s">
        <v>879</v>
      </c>
      <c r="I101" s="6" t="s">
        <v>880</v>
      </c>
      <c r="J101" s="6" t="s">
        <v>117</v>
      </c>
      <c r="K101" s="6" t="str">
        <f t="shared" si="3"/>
        <v> 東京都大田区上池台３－２４－１４スターハイツ洗足池２　２０２</v>
      </c>
      <c r="L101" s="6"/>
      <c r="M101" s="6" t="s">
        <v>118</v>
      </c>
      <c r="N101" s="12" t="s">
        <v>30</v>
      </c>
      <c r="O101" s="6" t="s">
        <v>881</v>
      </c>
      <c r="P101" s="6"/>
      <c r="Q101" s="6" t="s">
        <v>877</v>
      </c>
      <c r="R101" s="6" t="s">
        <v>160</v>
      </c>
      <c r="S101" s="6" t="s">
        <v>882</v>
      </c>
      <c r="T101" s="6" t="s">
        <v>883</v>
      </c>
      <c r="U101" s="6"/>
      <c r="V101" s="6" t="s">
        <v>884</v>
      </c>
      <c r="W101" s="6"/>
      <c r="X101" s="6"/>
      <c r="Y101" s="6" t="s">
        <v>123</v>
      </c>
    </row>
    <row r="102" ht="33.05" customHeight="1" spans="1:25">
      <c r="A102" s="6" t="s">
        <v>885</v>
      </c>
      <c r="B102" s="7" t="s">
        <v>885</v>
      </c>
      <c r="C102" s="8">
        <v>45835</v>
      </c>
      <c r="D102" s="6">
        <v>1</v>
      </c>
      <c r="E102" s="6">
        <v>1</v>
      </c>
      <c r="F102" s="9" t="s">
        <v>886</v>
      </c>
      <c r="G102" s="6" t="str">
        <f t="shared" si="2"/>
        <v>広島県三原市沼田東町末光2-7広島県三原市沼田東町末光2-7</v>
      </c>
      <c r="H102" s="6" t="s">
        <v>887</v>
      </c>
      <c r="I102" s="6" t="s">
        <v>888</v>
      </c>
      <c r="J102" s="6" t="s">
        <v>214</v>
      </c>
      <c r="K102" s="6" t="str">
        <f t="shared" si="3"/>
        <v> 山形県山形市上町２－９－５</v>
      </c>
      <c r="L102" s="6"/>
      <c r="M102" s="6" t="s">
        <v>215</v>
      </c>
      <c r="N102" s="12" t="s">
        <v>30</v>
      </c>
      <c r="O102" s="6" t="s">
        <v>889</v>
      </c>
      <c r="P102" s="6"/>
      <c r="Q102" s="6" t="s">
        <v>885</v>
      </c>
      <c r="R102" s="6" t="s">
        <v>60</v>
      </c>
      <c r="S102" s="6" t="s">
        <v>890</v>
      </c>
      <c r="T102" s="6" t="s">
        <v>891</v>
      </c>
      <c r="U102" s="6"/>
      <c r="V102" s="6" t="s">
        <v>892</v>
      </c>
      <c r="W102" s="6"/>
      <c r="X102" s="6"/>
      <c r="Y102" s="6" t="s">
        <v>221</v>
      </c>
    </row>
    <row r="103" ht="33.05" customHeight="1" spans="1:25">
      <c r="A103" s="6" t="s">
        <v>893</v>
      </c>
      <c r="B103" s="7" t="s">
        <v>893</v>
      </c>
      <c r="C103" s="8"/>
      <c r="D103" s="6">
        <v>0</v>
      </c>
      <c r="E103" s="6">
        <v>1</v>
      </c>
      <c r="F103" s="9" t="s">
        <v>894</v>
      </c>
      <c r="G103" s="6" t="str">
        <f t="shared" si="2"/>
        <v>三重県桑名市一色町96-3 マイン96 501号室三重県桑名市一色町96-3マイン96501号室</v>
      </c>
      <c r="H103" s="6" t="s">
        <v>895</v>
      </c>
      <c r="I103" s="6" t="s">
        <v>896</v>
      </c>
      <c r="J103" s="6" t="s">
        <v>57</v>
      </c>
      <c r="K103" s="6" t="str">
        <f t="shared" si="3"/>
        <v> 中央区内本町2‐3‐8　ダイアパレスビル本町 1006ミズイシテクノロジー</v>
      </c>
      <c r="L103" s="6"/>
      <c r="M103" s="6" t="s">
        <v>58</v>
      </c>
      <c r="N103" s="12" t="s">
        <v>30</v>
      </c>
      <c r="O103" s="6" t="s">
        <v>897</v>
      </c>
      <c r="P103" s="6"/>
      <c r="Q103" s="6" t="s">
        <v>893</v>
      </c>
      <c r="R103" s="6" t="s">
        <v>191</v>
      </c>
      <c r="S103" s="6" t="s">
        <v>898</v>
      </c>
      <c r="T103" s="6" t="s">
        <v>899</v>
      </c>
      <c r="U103" s="6"/>
      <c r="V103" s="6" t="s">
        <v>900</v>
      </c>
      <c r="W103" s="6"/>
      <c r="X103" s="6"/>
      <c r="Y103" s="6" t="s">
        <v>64</v>
      </c>
    </row>
    <row r="104" ht="33.05" customHeight="1" spans="1:25">
      <c r="A104" s="6" t="s">
        <v>901</v>
      </c>
      <c r="B104" s="7" t="s">
        <v>901</v>
      </c>
      <c r="C104" s="8">
        <v>45833</v>
      </c>
      <c r="D104" s="6">
        <v>19</v>
      </c>
      <c r="E104" s="6">
        <v>1</v>
      </c>
      <c r="F104" s="9" t="s">
        <v>902</v>
      </c>
      <c r="G104" s="6" t="str">
        <f t="shared" si="2"/>
        <v>和歌山県和歌山市木広町2丁目85番地1和歌山県和歌山市木広町2丁目85番地1</v>
      </c>
      <c r="H104" s="6" t="s">
        <v>903</v>
      </c>
      <c r="I104" s="6" t="s">
        <v>904</v>
      </c>
      <c r="J104" s="6" t="s">
        <v>274</v>
      </c>
      <c r="K104" s="6" t="str">
        <f t="shared" si="3"/>
        <v> 大阪府富田林市平町１－４１０３－１</v>
      </c>
      <c r="L104" s="6"/>
      <c r="M104" s="6" t="s">
        <v>275</v>
      </c>
      <c r="N104" s="12" t="s">
        <v>30</v>
      </c>
      <c r="O104" s="6" t="s">
        <v>905</v>
      </c>
      <c r="P104" s="6"/>
      <c r="Q104" s="6" t="s">
        <v>901</v>
      </c>
      <c r="R104" s="6" t="s">
        <v>906</v>
      </c>
      <c r="S104" s="6" t="s">
        <v>907</v>
      </c>
      <c r="T104" s="6" t="s">
        <v>908</v>
      </c>
      <c r="U104" s="6"/>
      <c r="V104" s="6" t="s">
        <v>909</v>
      </c>
      <c r="W104" s="6"/>
      <c r="X104" s="6"/>
      <c r="Y104" s="6" t="s">
        <v>281</v>
      </c>
    </row>
    <row r="105" ht="33.05" customHeight="1" spans="1:25">
      <c r="A105" s="6" t="s">
        <v>910</v>
      </c>
      <c r="B105" s="7" t="s">
        <v>910</v>
      </c>
      <c r="C105" s="8">
        <v>45832</v>
      </c>
      <c r="D105" s="6">
        <v>1</v>
      </c>
      <c r="E105" s="6">
        <v>1</v>
      </c>
      <c r="F105" s="9" t="s">
        <v>911</v>
      </c>
      <c r="G105" s="6" t="str">
        <f t="shared" si="2"/>
        <v>東京都千代田区四番町8-11 パークハウス四番町601号室東京都千代田区四番町8-11パークハウス四番町601号室</v>
      </c>
      <c r="H105" s="6" t="s">
        <v>912</v>
      </c>
      <c r="I105" s="6" t="s">
        <v>913</v>
      </c>
      <c r="J105" s="6" t="s">
        <v>99</v>
      </c>
      <c r="K105" s="6" t="str">
        <f t="shared" si="3"/>
        <v> 神奈川県川崎市高津区下作延２－２２－５クレイノアクアパレス２０５</v>
      </c>
      <c r="L105" s="6"/>
      <c r="M105" s="6" t="s">
        <v>100</v>
      </c>
      <c r="N105" s="12" t="s">
        <v>30</v>
      </c>
      <c r="O105" s="6" t="s">
        <v>914</v>
      </c>
      <c r="P105" s="6"/>
      <c r="Q105" s="6" t="s">
        <v>910</v>
      </c>
      <c r="R105" s="6" t="s">
        <v>32</v>
      </c>
      <c r="S105" s="6" t="s">
        <v>821</v>
      </c>
      <c r="T105" s="6" t="s">
        <v>915</v>
      </c>
      <c r="U105" s="6"/>
      <c r="V105" s="6" t="s">
        <v>916</v>
      </c>
      <c r="W105" s="6"/>
      <c r="X105" s="6"/>
      <c r="Y105" s="6" t="s">
        <v>105</v>
      </c>
    </row>
    <row r="106" ht="33.05" customHeight="1" spans="1:25">
      <c r="A106" s="6" t="s">
        <v>917</v>
      </c>
      <c r="B106" s="7" t="s">
        <v>917</v>
      </c>
      <c r="C106" s="8">
        <v>45838</v>
      </c>
      <c r="D106" s="6">
        <v>0</v>
      </c>
      <c r="E106" s="6">
        <v>1</v>
      </c>
      <c r="F106" s="9" t="s">
        <v>918</v>
      </c>
      <c r="G106" s="6" t="str">
        <f t="shared" si="2"/>
        <v>愛媛県上浮穴郡久万高原町久万265-3愛媛県上浮穴郡久万高原町久万265-3</v>
      </c>
      <c r="H106" s="6" t="s">
        <v>919</v>
      </c>
      <c r="I106" s="6" t="s">
        <v>920</v>
      </c>
      <c r="J106" s="6" t="s">
        <v>128</v>
      </c>
      <c r="K106" s="6" t="str">
        <f t="shared" si="3"/>
        <v> 東京都品川区平塚1-13-1</v>
      </c>
      <c r="L106" s="6"/>
      <c r="M106" s="6" t="s">
        <v>129</v>
      </c>
      <c r="N106" s="12" t="s">
        <v>30</v>
      </c>
      <c r="O106" s="6" t="s">
        <v>921</v>
      </c>
      <c r="P106" s="6"/>
      <c r="Q106" s="6" t="s">
        <v>917</v>
      </c>
      <c r="R106" s="6" t="s">
        <v>922</v>
      </c>
      <c r="S106" s="6" t="s">
        <v>923</v>
      </c>
      <c r="T106" s="6" t="s">
        <v>924</v>
      </c>
      <c r="U106" s="6"/>
      <c r="V106" s="6" t="s">
        <v>925</v>
      </c>
      <c r="W106" s="6"/>
      <c r="X106" s="6"/>
      <c r="Y106" s="6" t="s">
        <v>134</v>
      </c>
    </row>
    <row r="107" ht="33.05" customHeight="1" spans="1:25">
      <c r="A107" s="6" t="s">
        <v>926</v>
      </c>
      <c r="B107" s="7" t="s">
        <v>926</v>
      </c>
      <c r="C107" s="8">
        <v>45840</v>
      </c>
      <c r="D107" s="6">
        <v>1</v>
      </c>
      <c r="E107" s="6">
        <v>1</v>
      </c>
      <c r="F107" s="9" t="s">
        <v>927</v>
      </c>
      <c r="G107" s="6" t="str">
        <f t="shared" si="2"/>
        <v>北海道恵庭市黄金南1丁目20ー14北海道恵庭市黄金南1丁目20ー14</v>
      </c>
      <c r="H107" s="6" t="s">
        <v>928</v>
      </c>
      <c r="I107" s="6" t="s">
        <v>929</v>
      </c>
      <c r="J107" s="6" t="s">
        <v>45</v>
      </c>
      <c r="K107" s="6" t="str">
        <f t="shared" si="3"/>
        <v> 東京都稲城市平尾１－１４－１７</v>
      </c>
      <c r="L107" s="6"/>
      <c r="M107" s="6" t="s">
        <v>46</v>
      </c>
      <c r="N107" s="12" t="s">
        <v>30</v>
      </c>
      <c r="O107" s="6" t="s">
        <v>930</v>
      </c>
      <c r="P107" s="6"/>
      <c r="Q107" s="6" t="s">
        <v>926</v>
      </c>
      <c r="R107" s="6" t="s">
        <v>331</v>
      </c>
      <c r="S107" s="6" t="s">
        <v>931</v>
      </c>
      <c r="T107" s="6" t="s">
        <v>932</v>
      </c>
      <c r="U107" s="6"/>
      <c r="V107" s="6" t="s">
        <v>933</v>
      </c>
      <c r="W107" s="6"/>
      <c r="X107" s="6"/>
      <c r="Y107" s="6" t="s">
        <v>52</v>
      </c>
    </row>
    <row r="108" ht="33.05" customHeight="1" spans="1:25">
      <c r="A108" s="6" t="s">
        <v>934</v>
      </c>
      <c r="B108" s="7" t="s">
        <v>934</v>
      </c>
      <c r="C108" s="8">
        <v>45832</v>
      </c>
      <c r="D108" s="6">
        <v>12</v>
      </c>
      <c r="E108" s="6">
        <v>1</v>
      </c>
      <c r="F108" s="9" t="s">
        <v>935</v>
      </c>
      <c r="G108" s="6" t="str">
        <f t="shared" si="2"/>
        <v>兵庫県神戸市東灘区北青木4-14-22兵庫県神戸市東灘区北青木4-14-22</v>
      </c>
      <c r="H108" s="6" t="s">
        <v>936</v>
      </c>
      <c r="I108" s="6" t="s">
        <v>937</v>
      </c>
      <c r="J108" s="6" t="s">
        <v>99</v>
      </c>
      <c r="K108" s="6" t="str">
        <f t="shared" si="3"/>
        <v> 神奈川県川崎市高津区下作延２－２２－５クレイノアクアパレス２０５</v>
      </c>
      <c r="L108" s="6"/>
      <c r="M108" s="6" t="s">
        <v>100</v>
      </c>
      <c r="N108" s="12" t="s">
        <v>30</v>
      </c>
      <c r="O108" s="6" t="s">
        <v>938</v>
      </c>
      <c r="P108" s="6"/>
      <c r="Q108" s="6" t="s">
        <v>934</v>
      </c>
      <c r="R108" s="6" t="s">
        <v>207</v>
      </c>
      <c r="S108" s="6" t="s">
        <v>939</v>
      </c>
      <c r="T108" s="6" t="s">
        <v>940</v>
      </c>
      <c r="U108" s="6"/>
      <c r="V108" s="6" t="s">
        <v>941</v>
      </c>
      <c r="W108" s="6"/>
      <c r="X108" s="6"/>
      <c r="Y108" s="6" t="s">
        <v>105</v>
      </c>
    </row>
    <row r="109" ht="33.05" customHeight="1" spans="1:25">
      <c r="A109" s="6" t="s">
        <v>942</v>
      </c>
      <c r="B109" s="7" t="s">
        <v>942</v>
      </c>
      <c r="C109" s="8">
        <v>45836</v>
      </c>
      <c r="D109" s="6">
        <v>12</v>
      </c>
      <c r="E109" s="6">
        <v>1</v>
      </c>
      <c r="F109" s="9" t="s">
        <v>943</v>
      </c>
      <c r="G109" s="6" t="str">
        <f t="shared" si="2"/>
        <v>愛知県東海市荒尾町向山21ビッレチ向山　五号棟103愛知県東海市荒尾町向山21ビッレチ向山　五号棟103</v>
      </c>
      <c r="H109" s="6" t="s">
        <v>944</v>
      </c>
      <c r="I109" s="6" t="s">
        <v>945</v>
      </c>
      <c r="J109" s="6" t="s">
        <v>69</v>
      </c>
      <c r="K109" s="6" t="str">
        <f t="shared" si="3"/>
        <v> 東京都西多摩郡奥多摩町留浦１０１８</v>
      </c>
      <c r="L109" s="6"/>
      <c r="M109" s="6" t="s">
        <v>70</v>
      </c>
      <c r="N109" s="12" t="s">
        <v>30</v>
      </c>
      <c r="O109" s="6" t="s">
        <v>946</v>
      </c>
      <c r="P109" s="6"/>
      <c r="Q109" s="6" t="s">
        <v>942</v>
      </c>
      <c r="R109" s="6" t="s">
        <v>342</v>
      </c>
      <c r="S109" s="6" t="s">
        <v>947</v>
      </c>
      <c r="T109" s="6" t="s">
        <v>948</v>
      </c>
      <c r="U109" s="6"/>
      <c r="V109" s="6" t="s">
        <v>949</v>
      </c>
      <c r="W109" s="6"/>
      <c r="X109" s="6"/>
      <c r="Y109" s="6" t="s">
        <v>76</v>
      </c>
    </row>
    <row r="110" ht="33.05" customHeight="1" spans="1:25">
      <c r="A110" s="6" t="s">
        <v>950</v>
      </c>
      <c r="B110" s="7" t="s">
        <v>950</v>
      </c>
      <c r="C110" s="8">
        <v>45829</v>
      </c>
      <c r="D110" s="6">
        <v>1</v>
      </c>
      <c r="E110" s="6">
        <v>1</v>
      </c>
      <c r="F110" s="9" t="s">
        <v>951</v>
      </c>
      <c r="G110" s="6" t="str">
        <f t="shared" si="2"/>
        <v>埼玉県川越市藤倉2-19-5 アーバンオレンジ102号埼玉県川越市藤倉2-19-5アーバンオレンジ102号</v>
      </c>
      <c r="H110" s="6" t="s">
        <v>952</v>
      </c>
      <c r="I110" s="6" t="s">
        <v>953</v>
      </c>
      <c r="J110" s="6" t="s">
        <v>526</v>
      </c>
      <c r="K110" s="6" t="str">
        <f t="shared" si="3"/>
        <v> 大阪府大阪市中央区安堂寺町2-1-3-901</v>
      </c>
      <c r="L110" s="6"/>
      <c r="M110" s="6" t="s">
        <v>527</v>
      </c>
      <c r="N110" s="12" t="s">
        <v>30</v>
      </c>
      <c r="O110" s="6" t="s">
        <v>954</v>
      </c>
      <c r="P110" s="6"/>
      <c r="Q110" s="6" t="s">
        <v>950</v>
      </c>
      <c r="R110" s="6" t="s">
        <v>812</v>
      </c>
      <c r="S110" s="6" t="s">
        <v>955</v>
      </c>
      <c r="T110" s="6" t="s">
        <v>956</v>
      </c>
      <c r="U110" s="6"/>
      <c r="V110" s="6" t="s">
        <v>957</v>
      </c>
      <c r="W110" s="6"/>
      <c r="X110" s="6"/>
      <c r="Y110" s="6" t="s">
        <v>532</v>
      </c>
    </row>
    <row r="111" ht="33.05" customHeight="1" spans="1:25">
      <c r="A111" s="6" t="s">
        <v>958</v>
      </c>
      <c r="B111" s="7" t="s">
        <v>958</v>
      </c>
      <c r="C111" s="8"/>
      <c r="D111" s="6">
        <v>0</v>
      </c>
      <c r="E111" s="6">
        <v>1</v>
      </c>
      <c r="F111" s="9" t="s">
        <v>959</v>
      </c>
      <c r="G111" s="6" t="str">
        <f t="shared" si="2"/>
        <v>愛知県清須市西枇杷島町城並2-3-4 サティスファクション101愛知県清須市西枇杷島町城並2-3-4サティスファクション101</v>
      </c>
      <c r="H111" s="6" t="s">
        <v>960</v>
      </c>
      <c r="I111" s="6" t="s">
        <v>961</v>
      </c>
      <c r="J111" s="6" t="s">
        <v>180</v>
      </c>
      <c r="K111" s="6" t="str">
        <f t="shared" si="3"/>
        <v> 内本町2‐3‐8</v>
      </c>
      <c r="L111" s="6"/>
      <c r="M111" s="6" t="s">
        <v>158</v>
      </c>
      <c r="N111" s="12" t="s">
        <v>30</v>
      </c>
      <c r="O111" s="6" t="s">
        <v>962</v>
      </c>
      <c r="P111" s="6"/>
      <c r="Q111" s="6" t="s">
        <v>958</v>
      </c>
      <c r="R111" s="6" t="s">
        <v>342</v>
      </c>
      <c r="S111" s="6" t="s">
        <v>963</v>
      </c>
      <c r="T111" s="6" t="s">
        <v>964</v>
      </c>
      <c r="U111" s="6"/>
      <c r="V111" s="6" t="s">
        <v>965</v>
      </c>
      <c r="W111" s="6"/>
      <c r="X111" s="6"/>
      <c r="Y111" s="6" t="s">
        <v>164</v>
      </c>
    </row>
    <row r="112" ht="33.05" customHeight="1" spans="1:25">
      <c r="A112" s="6" t="s">
        <v>966</v>
      </c>
      <c r="B112" s="7" t="s">
        <v>966</v>
      </c>
      <c r="C112" s="8">
        <v>45838</v>
      </c>
      <c r="D112" s="6">
        <v>0</v>
      </c>
      <c r="E112" s="6">
        <v>1</v>
      </c>
      <c r="F112" s="9" t="s">
        <v>967</v>
      </c>
      <c r="G112" s="6" t="str">
        <f t="shared" si="2"/>
        <v>広島県尾道市美ノ郷町三成54-1サンパティーク102広島県尾道市美ノ郷町三成54-1サンパティーク102</v>
      </c>
      <c r="H112" s="6" t="s">
        <v>968</v>
      </c>
      <c r="I112" s="6" t="s">
        <v>969</v>
      </c>
      <c r="J112" s="6" t="s">
        <v>128</v>
      </c>
      <c r="K112" s="6" t="str">
        <f t="shared" si="3"/>
        <v> 東京都品川区平塚1-13-1</v>
      </c>
      <c r="L112" s="6"/>
      <c r="M112" s="6" t="s">
        <v>129</v>
      </c>
      <c r="N112" s="12" t="s">
        <v>30</v>
      </c>
      <c r="O112" s="6" t="s">
        <v>843</v>
      </c>
      <c r="P112" s="6"/>
      <c r="Q112" s="6" t="s">
        <v>966</v>
      </c>
      <c r="R112" s="6" t="s">
        <v>60</v>
      </c>
      <c r="S112" s="6" t="s">
        <v>970</v>
      </c>
      <c r="T112" s="6" t="s">
        <v>971</v>
      </c>
      <c r="U112" s="6"/>
      <c r="V112" s="6" t="s">
        <v>972</v>
      </c>
      <c r="W112" s="6"/>
      <c r="X112" s="6"/>
      <c r="Y112" s="6" t="s">
        <v>134</v>
      </c>
    </row>
    <row r="113" ht="33.05" customHeight="1" spans="1:25">
      <c r="A113" s="6" t="s">
        <v>973</v>
      </c>
      <c r="B113" s="7" t="s">
        <v>973</v>
      </c>
      <c r="C113" s="8">
        <v>45836</v>
      </c>
      <c r="D113" s="6">
        <v>19</v>
      </c>
      <c r="E113" s="6">
        <v>1</v>
      </c>
      <c r="F113" s="9" t="s">
        <v>974</v>
      </c>
      <c r="G113" s="6" t="str">
        <f t="shared" si="2"/>
        <v>大阪府柏原市国分西2-3-66ハイツあかしど202大阪府柏原市国分西2-3-66ハイッあかしど202</v>
      </c>
      <c r="H113" s="6" t="s">
        <v>975</v>
      </c>
      <c r="I113" s="6" t="s">
        <v>976</v>
      </c>
      <c r="J113" s="6" t="s">
        <v>214</v>
      </c>
      <c r="K113" s="6" t="str">
        <f t="shared" si="3"/>
        <v> 山形県山形市上町２－９－５</v>
      </c>
      <c r="L113" s="6"/>
      <c r="M113" s="6" t="s">
        <v>215</v>
      </c>
      <c r="N113" s="12" t="s">
        <v>30</v>
      </c>
      <c r="O113" s="6" t="s">
        <v>977</v>
      </c>
      <c r="P113" s="6"/>
      <c r="Q113" s="6" t="s">
        <v>973</v>
      </c>
      <c r="R113" s="6" t="s">
        <v>48</v>
      </c>
      <c r="S113" s="6" t="s">
        <v>172</v>
      </c>
      <c r="T113" s="6" t="s">
        <v>978</v>
      </c>
      <c r="U113" s="6"/>
      <c r="V113" s="6" t="s">
        <v>979</v>
      </c>
      <c r="W113" s="6"/>
      <c r="X113" s="6"/>
      <c r="Y113" s="6" t="s">
        <v>221</v>
      </c>
    </row>
    <row r="114" ht="33.05" customHeight="1" spans="1:25">
      <c r="A114" s="6" t="s">
        <v>980</v>
      </c>
      <c r="B114" s="7" t="s">
        <v>980</v>
      </c>
      <c r="C114" s="8">
        <v>45833</v>
      </c>
      <c r="D114" s="6">
        <v>16</v>
      </c>
      <c r="E114" s="6">
        <v>1</v>
      </c>
      <c r="F114" s="9" t="s">
        <v>981</v>
      </c>
      <c r="G114" s="6" t="str">
        <f t="shared" si="2"/>
        <v>愛知県名古屋市瑞穂区瑞穂区苗代町27番20号愛知県名古屋市瑞穂区苗代町瑞穂区27番20号</v>
      </c>
      <c r="H114" s="6" t="s">
        <v>982</v>
      </c>
      <c r="I114" s="6" t="s">
        <v>983</v>
      </c>
      <c r="J114" s="6" t="s">
        <v>214</v>
      </c>
      <c r="K114" s="6" t="str">
        <f t="shared" si="3"/>
        <v> 山形県山形市上町２－９－５</v>
      </c>
      <c r="L114" s="6"/>
      <c r="M114" s="6" t="s">
        <v>215</v>
      </c>
      <c r="N114" s="12" t="s">
        <v>30</v>
      </c>
      <c r="O114" s="6" t="s">
        <v>422</v>
      </c>
      <c r="P114" s="6"/>
      <c r="Q114" s="6" t="s">
        <v>980</v>
      </c>
      <c r="R114" s="6" t="s">
        <v>342</v>
      </c>
      <c r="S114" s="6" t="s">
        <v>984</v>
      </c>
      <c r="T114" s="6" t="s">
        <v>985</v>
      </c>
      <c r="U114" s="6"/>
      <c r="V114" s="6" t="s">
        <v>986</v>
      </c>
      <c r="W114" s="6"/>
      <c r="X114" s="6"/>
      <c r="Y114" s="6" t="s">
        <v>221</v>
      </c>
    </row>
    <row r="115" ht="33.05" customHeight="1" spans="1:25">
      <c r="A115" s="6" t="s">
        <v>987</v>
      </c>
      <c r="B115" s="7" t="s">
        <v>987</v>
      </c>
      <c r="C115" s="8">
        <v>45839</v>
      </c>
      <c r="D115" s="6">
        <v>1</v>
      </c>
      <c r="E115" s="6">
        <v>1</v>
      </c>
      <c r="F115" s="9" t="s">
        <v>988</v>
      </c>
      <c r="G115" s="6" t="str">
        <f t="shared" si="2"/>
        <v>静岡県浜松市中央区舞阪町浜田246</v>
      </c>
      <c r="H115" s="6" t="s">
        <v>989</v>
      </c>
      <c r="I115" s="6" t="s">
        <v>990</v>
      </c>
      <c r="J115" s="6" t="s">
        <v>526</v>
      </c>
      <c r="K115" s="6" t="str">
        <f t="shared" si="3"/>
        <v> 大阪府大阪市中央区安堂寺町2-1-3-901</v>
      </c>
      <c r="L115" s="6"/>
      <c r="M115" s="6" t="s">
        <v>527</v>
      </c>
      <c r="N115" s="12" t="s">
        <v>30</v>
      </c>
      <c r="O115" s="6" t="s">
        <v>991</v>
      </c>
      <c r="P115" s="6"/>
      <c r="Q115" s="6" t="s">
        <v>987</v>
      </c>
      <c r="R115" s="6" t="s">
        <v>202</v>
      </c>
      <c r="S115" s="6" t="s">
        <v>992</v>
      </c>
      <c r="T115" s="6" t="s">
        <v>993</v>
      </c>
      <c r="U115" s="6"/>
      <c r="V115" s="6"/>
      <c r="W115" s="6"/>
      <c r="X115" s="6"/>
      <c r="Y115" s="6" t="s">
        <v>532</v>
      </c>
    </row>
    <row r="116" ht="33.05" customHeight="1" spans="1:25">
      <c r="A116" s="6" t="s">
        <v>994</v>
      </c>
      <c r="B116" s="7" t="s">
        <v>994</v>
      </c>
      <c r="C116" s="8">
        <v>45835</v>
      </c>
      <c r="D116" s="6">
        <v>1</v>
      </c>
      <c r="E116" s="6">
        <v>1</v>
      </c>
      <c r="F116" s="9" t="s">
        <v>995</v>
      </c>
      <c r="G116" s="6" t="str">
        <f t="shared" si="2"/>
        <v>三重県三重郡川越町南福崎413-15三重県三重郡川越町南福崎413-15</v>
      </c>
      <c r="H116" s="6" t="s">
        <v>996</v>
      </c>
      <c r="I116" s="6" t="s">
        <v>997</v>
      </c>
      <c r="J116" s="6" t="s">
        <v>526</v>
      </c>
      <c r="K116" s="6" t="str">
        <f t="shared" si="3"/>
        <v> 大阪府大阪市中央区安堂寺町2-1-3-901</v>
      </c>
      <c r="L116" s="6"/>
      <c r="M116" s="6" t="s">
        <v>527</v>
      </c>
      <c r="N116" s="12" t="s">
        <v>30</v>
      </c>
      <c r="O116" s="6" t="s">
        <v>998</v>
      </c>
      <c r="P116" s="6"/>
      <c r="Q116" s="6" t="s">
        <v>994</v>
      </c>
      <c r="R116" s="6" t="s">
        <v>191</v>
      </c>
      <c r="S116" s="6" t="s">
        <v>999</v>
      </c>
      <c r="T116" s="6" t="s">
        <v>1000</v>
      </c>
      <c r="U116" s="6"/>
      <c r="V116" s="6" t="s">
        <v>1001</v>
      </c>
      <c r="W116" s="6"/>
      <c r="X116" s="6"/>
      <c r="Y116" s="6" t="s">
        <v>532</v>
      </c>
    </row>
    <row r="117" ht="33.05" customHeight="1" spans="1:25">
      <c r="A117" s="6" t="s">
        <v>1002</v>
      </c>
      <c r="B117" s="7" t="s">
        <v>1002</v>
      </c>
      <c r="C117" s="8">
        <v>45833</v>
      </c>
      <c r="D117" s="6">
        <v>19</v>
      </c>
      <c r="E117" s="6">
        <v>1</v>
      </c>
      <c r="F117" s="9" t="s">
        <v>1003</v>
      </c>
      <c r="G117" s="6" t="str">
        <f t="shared" si="2"/>
        <v>福岡県福岡市早良区原5-7-2-503福岡県福岡市早良区原5-7-2-503</v>
      </c>
      <c r="H117" s="6" t="s">
        <v>1004</v>
      </c>
      <c r="I117" s="6" t="s">
        <v>1005</v>
      </c>
      <c r="J117" s="6" t="s">
        <v>274</v>
      </c>
      <c r="K117" s="6" t="str">
        <f t="shared" si="3"/>
        <v> 大阪府富田林市平町１－４１０３－１</v>
      </c>
      <c r="L117" s="6"/>
      <c r="M117" s="6" t="s">
        <v>275</v>
      </c>
      <c r="N117" s="12" t="s">
        <v>30</v>
      </c>
      <c r="O117" s="6" t="s">
        <v>1006</v>
      </c>
      <c r="P117" s="6"/>
      <c r="Q117" s="6" t="s">
        <v>1002</v>
      </c>
      <c r="R117" s="6" t="s">
        <v>149</v>
      </c>
      <c r="S117" s="6" t="s">
        <v>1007</v>
      </c>
      <c r="T117" s="6" t="s">
        <v>1008</v>
      </c>
      <c r="U117" s="6"/>
      <c r="V117" s="6" t="s">
        <v>1009</v>
      </c>
      <c r="W117" s="6"/>
      <c r="X117" s="6"/>
      <c r="Y117" s="6" t="s">
        <v>281</v>
      </c>
    </row>
    <row r="118" ht="33.05" customHeight="1" spans="1:25">
      <c r="A118" s="6" t="s">
        <v>1010</v>
      </c>
      <c r="B118" s="7" t="s">
        <v>1010</v>
      </c>
      <c r="C118" s="8"/>
      <c r="D118" s="6">
        <v>18</v>
      </c>
      <c r="E118" s="6">
        <v>1</v>
      </c>
      <c r="F118" s="9" t="s">
        <v>1011</v>
      </c>
      <c r="G118" s="6" t="str">
        <f t="shared" si="2"/>
        <v>東京都世田谷区駒沢3-13-2東京都世田谷区駒沢3-13-2</v>
      </c>
      <c r="H118" s="6" t="s">
        <v>1012</v>
      </c>
      <c r="I118" s="6" t="s">
        <v>1013</v>
      </c>
      <c r="J118" s="6" t="s">
        <v>117</v>
      </c>
      <c r="K118" s="6" t="str">
        <f t="shared" si="3"/>
        <v> 東京都大田区上池台３－２４－１４スターハイツ洗足池２　２０２</v>
      </c>
      <c r="L118" s="6"/>
      <c r="M118" s="6" t="s">
        <v>118</v>
      </c>
      <c r="N118" s="12" t="s">
        <v>30</v>
      </c>
      <c r="O118" s="6" t="s">
        <v>1014</v>
      </c>
      <c r="P118" s="6"/>
      <c r="Q118" s="6" t="s">
        <v>1010</v>
      </c>
      <c r="R118" s="6" t="s">
        <v>32</v>
      </c>
      <c r="S118" s="6" t="s">
        <v>1015</v>
      </c>
      <c r="T118" s="6" t="s">
        <v>1016</v>
      </c>
      <c r="U118" s="6"/>
      <c r="V118" s="6" t="s">
        <v>1017</v>
      </c>
      <c r="W118" s="6"/>
      <c r="X118" s="6"/>
      <c r="Y118" s="6" t="s">
        <v>123</v>
      </c>
    </row>
    <row r="119" ht="33.05" customHeight="1" spans="1:25">
      <c r="A119" s="6" t="s">
        <v>1018</v>
      </c>
      <c r="B119" s="7" t="s">
        <v>1018</v>
      </c>
      <c r="C119" s="8">
        <v>45834</v>
      </c>
      <c r="D119" s="6">
        <v>0</v>
      </c>
      <c r="E119" s="6">
        <v>1</v>
      </c>
      <c r="F119" s="9" t="s">
        <v>1019</v>
      </c>
      <c r="G119" s="6" t="str">
        <f t="shared" si="2"/>
        <v>大阪府大阪市旭区高殿6-23-10-1402大阪府大阪市旭区高殿6-23-10-1402</v>
      </c>
      <c r="H119" s="6" t="s">
        <v>1020</v>
      </c>
      <c r="I119" s="6" t="s">
        <v>1021</v>
      </c>
      <c r="J119" s="6" t="s">
        <v>128</v>
      </c>
      <c r="K119" s="6" t="str">
        <f t="shared" si="3"/>
        <v> 東京都品川区平塚1-13-1</v>
      </c>
      <c r="L119" s="6"/>
      <c r="M119" s="6" t="s">
        <v>129</v>
      </c>
      <c r="N119" s="12" t="s">
        <v>30</v>
      </c>
      <c r="O119" s="6" t="s">
        <v>1022</v>
      </c>
      <c r="P119" s="6"/>
      <c r="Q119" s="6" t="s">
        <v>1018</v>
      </c>
      <c r="R119" s="6" t="s">
        <v>48</v>
      </c>
      <c r="S119" s="6" t="s">
        <v>1023</v>
      </c>
      <c r="T119" s="6" t="s">
        <v>1024</v>
      </c>
      <c r="U119" s="6"/>
      <c r="V119" s="6" t="s">
        <v>1025</v>
      </c>
      <c r="W119" s="6"/>
      <c r="X119" s="6"/>
      <c r="Y119" s="6" t="s">
        <v>134</v>
      </c>
    </row>
    <row r="120" ht="33.05" customHeight="1" spans="1:25">
      <c r="A120" s="6" t="s">
        <v>1026</v>
      </c>
      <c r="B120" s="7" t="s">
        <v>1026</v>
      </c>
      <c r="C120" s="8"/>
      <c r="D120" s="6">
        <v>18</v>
      </c>
      <c r="E120" s="6">
        <v>1</v>
      </c>
      <c r="F120" s="9" t="s">
        <v>1027</v>
      </c>
      <c r="G120" s="6" t="str">
        <f t="shared" si="2"/>
        <v>福岡県遠賀郡岡垣町旭台4-21-10福岡県遠賀郡岡垣町旭台4-21-10</v>
      </c>
      <c r="H120" s="6" t="s">
        <v>1028</v>
      </c>
      <c r="I120" s="6" t="s">
        <v>1029</v>
      </c>
      <c r="J120" s="6" t="s">
        <v>274</v>
      </c>
      <c r="K120" s="6" t="str">
        <f t="shared" si="3"/>
        <v> 大阪府富田林市平町１－４１０３－１</v>
      </c>
      <c r="L120" s="6"/>
      <c r="M120" s="6" t="s">
        <v>275</v>
      </c>
      <c r="N120" s="12" t="s">
        <v>30</v>
      </c>
      <c r="O120" s="6" t="s">
        <v>757</v>
      </c>
      <c r="P120" s="6"/>
      <c r="Q120" s="6" t="s">
        <v>1026</v>
      </c>
      <c r="R120" s="6" t="s">
        <v>149</v>
      </c>
      <c r="S120" s="6" t="s">
        <v>1030</v>
      </c>
      <c r="T120" s="6" t="s">
        <v>1031</v>
      </c>
      <c r="U120" s="6"/>
      <c r="V120" s="6" t="s">
        <v>1032</v>
      </c>
      <c r="W120" s="6"/>
      <c r="X120" s="6"/>
      <c r="Y120" s="6" t="s">
        <v>281</v>
      </c>
    </row>
    <row r="121" ht="33.05" customHeight="1" spans="1:25">
      <c r="A121" s="6" t="s">
        <v>1033</v>
      </c>
      <c r="B121" s="7" t="s">
        <v>1033</v>
      </c>
      <c r="C121" s="8">
        <v>45835</v>
      </c>
      <c r="D121" s="6">
        <v>0</v>
      </c>
      <c r="E121" s="6">
        <v>1</v>
      </c>
      <c r="F121" s="9" t="s">
        <v>1034</v>
      </c>
      <c r="G121" s="6" t="str">
        <f t="shared" si="2"/>
        <v>福島県郡山市田村町岩作小人町5-1福島県郡山市田村町岩作小人町5-1</v>
      </c>
      <c r="H121" s="6" t="s">
        <v>1035</v>
      </c>
      <c r="I121" s="6" t="s">
        <v>1036</v>
      </c>
      <c r="J121" s="6" t="s">
        <v>395</v>
      </c>
      <c r="K121" s="6" t="str">
        <f t="shared" si="3"/>
        <v> 上野芝町2－5－1－５０７</v>
      </c>
      <c r="L121" s="6"/>
      <c r="M121" s="6" t="s">
        <v>396</v>
      </c>
      <c r="N121" s="12" t="s">
        <v>30</v>
      </c>
      <c r="O121" s="6" t="s">
        <v>1037</v>
      </c>
      <c r="P121" s="6"/>
      <c r="Q121" s="6" t="s">
        <v>1033</v>
      </c>
      <c r="R121" s="6" t="s">
        <v>1038</v>
      </c>
      <c r="S121" s="6" t="s">
        <v>1039</v>
      </c>
      <c r="T121" s="6" t="s">
        <v>1040</v>
      </c>
      <c r="U121" s="6"/>
      <c r="V121" s="6" t="s">
        <v>1041</v>
      </c>
      <c r="W121" s="6"/>
      <c r="X121" s="6"/>
      <c r="Y121" s="6" t="s">
        <v>401</v>
      </c>
    </row>
    <row r="122" ht="33.05" customHeight="1" spans="1:25">
      <c r="A122" s="6" t="s">
        <v>1042</v>
      </c>
      <c r="B122" s="7" t="s">
        <v>1042</v>
      </c>
      <c r="C122" s="8">
        <v>45844</v>
      </c>
      <c r="D122" s="6">
        <v>0</v>
      </c>
      <c r="E122" s="6">
        <v>1</v>
      </c>
      <c r="F122" s="9" t="s">
        <v>1043</v>
      </c>
      <c r="G122" s="6" t="str">
        <f t="shared" si="2"/>
        <v>広島県東広島市西条下見5-2-41コモド西条308号室  配送予定日：2025-07-06(日)広島県東広島市西条下見5-2-41コモド西条308号室配送予定日：2025-07-06(日)</v>
      </c>
      <c r="H122" s="6" t="s">
        <v>1044</v>
      </c>
      <c r="I122" s="6" t="s">
        <v>1045</v>
      </c>
      <c r="J122" s="6" t="s">
        <v>169</v>
      </c>
      <c r="K122" s="6" t="str">
        <f t="shared" si="3"/>
        <v> 和歌山県和歌山市西釘貫丁２－５３プレミール石川５０２</v>
      </c>
      <c r="L122" s="6"/>
      <c r="M122" s="6" t="s">
        <v>170</v>
      </c>
      <c r="N122" s="12" t="s">
        <v>30</v>
      </c>
      <c r="O122" s="6" t="s">
        <v>1046</v>
      </c>
      <c r="P122" s="6"/>
      <c r="Q122" s="6" t="s">
        <v>1042</v>
      </c>
      <c r="R122" s="6" t="s">
        <v>60</v>
      </c>
      <c r="S122" s="6" t="s">
        <v>1047</v>
      </c>
      <c r="T122" s="6" t="s">
        <v>1048</v>
      </c>
      <c r="U122" s="6"/>
      <c r="V122" s="6" t="s">
        <v>1049</v>
      </c>
      <c r="W122" s="6"/>
      <c r="X122" s="6"/>
      <c r="Y122" s="6" t="s">
        <v>175</v>
      </c>
    </row>
    <row r="123" ht="33.05" customHeight="1" spans="1:25">
      <c r="A123" s="6" t="s">
        <v>1050</v>
      </c>
      <c r="B123" s="7" t="s">
        <v>1050</v>
      </c>
      <c r="C123" s="8">
        <v>45838</v>
      </c>
      <c r="D123" s="6">
        <v>0</v>
      </c>
      <c r="E123" s="6">
        <v>1</v>
      </c>
      <c r="F123" s="9" t="s">
        <v>1051</v>
      </c>
      <c r="G123" s="6" t="str">
        <f t="shared" si="2"/>
        <v>熊本県熊本市東区保田窪4ー7ー17ボナールA102熊本県熊本市東区保田窪4ー7ー17ボナールA102</v>
      </c>
      <c r="H123" s="6" t="s">
        <v>1052</v>
      </c>
      <c r="I123" s="6" t="s">
        <v>1053</v>
      </c>
      <c r="J123" s="6" t="s">
        <v>1054</v>
      </c>
      <c r="K123" s="6" t="str">
        <f t="shared" si="3"/>
        <v> 大阪府茨木市郡３-28-４</v>
      </c>
      <c r="L123" s="6"/>
      <c r="M123" s="6" t="s">
        <v>1055</v>
      </c>
      <c r="N123" s="12" t="s">
        <v>30</v>
      </c>
      <c r="O123" s="6" t="s">
        <v>90</v>
      </c>
      <c r="P123" s="6"/>
      <c r="Q123" s="6" t="s">
        <v>1050</v>
      </c>
      <c r="R123" s="6" t="s">
        <v>576</v>
      </c>
      <c r="S123" s="6" t="s">
        <v>1056</v>
      </c>
      <c r="T123" s="6" t="s">
        <v>1057</v>
      </c>
      <c r="U123" s="6"/>
      <c r="V123" s="6" t="s">
        <v>1058</v>
      </c>
      <c r="W123" s="6"/>
      <c r="X123" s="6"/>
      <c r="Y123" s="6" t="s">
        <v>1059</v>
      </c>
    </row>
    <row r="124" ht="33.05" customHeight="1" spans="1:25">
      <c r="A124" s="6" t="s">
        <v>1060</v>
      </c>
      <c r="B124" s="7" t="s">
        <v>1060</v>
      </c>
      <c r="C124" s="8">
        <v>45834</v>
      </c>
      <c r="D124" s="6">
        <v>14</v>
      </c>
      <c r="E124" s="6">
        <v>1</v>
      </c>
      <c r="F124" s="9" t="s">
        <v>1061</v>
      </c>
      <c r="G124" s="6" t="str">
        <f t="shared" si="2"/>
        <v>熊本県熊本市東区健軍3-43-34-101熊本県熊本市東区健軍3-43-34-101</v>
      </c>
      <c r="H124" s="6" t="s">
        <v>1062</v>
      </c>
      <c r="I124" s="6" t="s">
        <v>1063</v>
      </c>
      <c r="J124" s="6" t="s">
        <v>180</v>
      </c>
      <c r="K124" s="6" t="str">
        <f t="shared" si="3"/>
        <v> 内本町2‐3‐8</v>
      </c>
      <c r="L124" s="6"/>
      <c r="M124" s="6" t="s">
        <v>158</v>
      </c>
      <c r="N124" s="12" t="s">
        <v>30</v>
      </c>
      <c r="O124" s="6" t="s">
        <v>528</v>
      </c>
      <c r="P124" s="6"/>
      <c r="Q124" s="6" t="s">
        <v>1060</v>
      </c>
      <c r="R124" s="6" t="s">
        <v>576</v>
      </c>
      <c r="S124" s="6" t="s">
        <v>1056</v>
      </c>
      <c r="T124" s="6" t="s">
        <v>1064</v>
      </c>
      <c r="U124" s="6"/>
      <c r="V124" s="6" t="s">
        <v>1065</v>
      </c>
      <c r="W124" s="6"/>
      <c r="X124" s="6"/>
      <c r="Y124" s="6" t="s">
        <v>164</v>
      </c>
    </row>
    <row r="125" ht="33.05" customHeight="1" spans="1:25">
      <c r="B125" s="10"/>
      <c r="F125" s="11"/>
    </row>
    <row r="126" ht="33.05" customHeight="1" spans="1:25">
      <c r="B126" s="10"/>
      <c r="F126" s="11"/>
    </row>
    <row r="127" ht="33.05" customHeight="1" spans="1:25">
      <c r="B127" s="10"/>
      <c r="F127" s="11"/>
    </row>
  </sheetData>
  <pageMargins left="0.7" right="0.7" top="0.75" bottom="0.75" header="0.31496062992126" footer="0.31496062992126"/>
  <pageSetup paperSize="8" scale="17" orientation="landscape" useFirstPageNumber="1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ZCE</dc:creator>
  <cp:lastModifiedBy>hairyxie</cp:lastModifiedBy>
  <dcterms:created xsi:type="dcterms:W3CDTF">2012-01-20T20:05:00Z</dcterms:created>
  <cp:lastPrinted>2019-01-29T12:39:00Z</cp:lastPrinted>
  <dcterms:modified xsi:type="dcterms:W3CDTF">2026-01-05T08:48:49Z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348BE279F64342E8BA37846169F6C7CE_13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