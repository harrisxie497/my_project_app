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2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500" activeTab="0"/>
  </bookViews>
  <sheets>
    <sheet name="单件尺寸重量" r:id="rId7" sheetId="3"/>
    <sheet name="电商平台代码" sheetId="2" r:id="rId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<sst xmlns="http://schemas.openxmlformats.org/spreadsheetml/2006/main" count="1607" uniqueCount="1372">
  <si>
    <t>MAWB NO：</t>
  </si>
  <si>
    <t>FLIGHT NO：</t>
  </si>
  <si>
    <t>ARRIVAL DATE</t>
  </si>
  <si>
    <t>会员编号</t>
  </si>
  <si>
    <t>序号</t>
  </si>
  <si>
    <t>HAWB番号</t>
  </si>
  <si>
    <t>現地問合せ番号</t>
  </si>
  <si>
    <t>貨物個数</t>
  </si>
  <si>
    <t>貨物重量</t>
  </si>
  <si>
    <t>重量単位コード</t>
  </si>
  <si>
    <t>品名</t>
  </si>
  <si>
    <r>
      <rPr>
        <sz val="12"/>
        <rFont val="ＭＳ 明朝"/>
        <charset val="134"/>
      </rPr>
      <t>材</t>
    </r>
    <r>
      <rPr>
        <sz val="12"/>
        <rFont val="宋体"/>
        <charset val="134"/>
      </rPr>
      <t>质</t>
    </r>
  </si>
  <si>
    <t>收件人名（删）</t>
  </si>
  <si>
    <t>輸入者名</t>
  </si>
  <si>
    <t>英文邮编录入(删)</t>
  </si>
  <si>
    <t>收件人地址(删)2</t>
  </si>
  <si>
    <r>
      <rPr>
        <sz val="12"/>
        <rFont val="ＭＳ 明朝"/>
        <charset val="134"/>
      </rPr>
      <t>輸入者住所（</t>
    </r>
    <r>
      <rPr>
        <sz val="12"/>
        <rFont val="宋体"/>
        <charset val="134"/>
      </rPr>
      <t>删</t>
    </r>
    <r>
      <rPr>
        <sz val="12"/>
        <rFont val="ＭＳ 明朝"/>
        <charset val="134"/>
      </rPr>
      <t>）</t>
    </r>
  </si>
  <si>
    <r>
      <rPr>
        <sz val="12"/>
        <rFont val="ＭＳ 明朝"/>
        <charset val="134"/>
      </rPr>
      <t>提取</t>
    </r>
    <r>
      <rPr>
        <sz val="12"/>
        <rFont val="宋体"/>
        <charset val="134"/>
      </rPr>
      <t>门</t>
    </r>
    <r>
      <rPr>
        <sz val="12"/>
        <rFont val="ＭＳ 明朝"/>
        <charset val="134"/>
      </rPr>
      <t>牌(</t>
    </r>
    <r>
      <rPr>
        <sz val="12"/>
        <rFont val="宋体"/>
        <charset val="134"/>
      </rPr>
      <t>删</t>
    </r>
    <r>
      <rPr>
        <sz val="12"/>
        <rFont val="ＭＳ 明朝"/>
        <charset val="134"/>
      </rPr>
      <t>)</t>
    </r>
  </si>
  <si>
    <t>輸入者住所</t>
  </si>
  <si>
    <t>輸入者 郵便番号</t>
  </si>
  <si>
    <t>輸入者電話番号</t>
  </si>
  <si>
    <t>輸出者名</t>
  </si>
  <si>
    <t>輸出者住所</t>
  </si>
  <si>
    <t>インボイス価格条件コード</t>
  </si>
  <si>
    <t>インボイス通貨コード</t>
  </si>
  <si>
    <t>インボイス価格</t>
  </si>
  <si>
    <t>单价（删）</t>
  </si>
  <si>
    <t>運賃区分コード</t>
  </si>
  <si>
    <t>運賃通貨コード</t>
  </si>
  <si>
    <t>運賃</t>
  </si>
  <si>
    <t>原産地コード</t>
  </si>
  <si>
    <t>備考</t>
  </si>
  <si>
    <t>收件人名（日文）</t>
  </si>
  <si>
    <t>收件人地址</t>
  </si>
  <si>
    <t>收件人电话</t>
  </si>
  <si>
    <t>收件人邮编</t>
  </si>
  <si>
    <t>依赖人名</t>
  </si>
  <si>
    <t>依赖人地址</t>
  </si>
  <si>
    <t>依赖人电话</t>
  </si>
  <si>
    <r>
      <rPr>
        <sz val="12"/>
        <rFont val="DengXian"/>
        <charset val="128"/>
        <scheme val="minor"/>
      </rPr>
      <t>收件地址</t>
    </r>
    <r>
      <rPr>
        <sz val="12"/>
        <rFont val="Noto Sans JP"/>
        <charset val="134"/>
      </rPr>
      <t>识别码</t>
    </r>
  </si>
  <si>
    <t>电商货识别码</t>
  </si>
  <si>
    <t>电商平台码</t>
  </si>
  <si>
    <t>电商平台名称</t>
  </si>
  <si>
    <t>系统预留列，不可使用</t>
  </si>
  <si>
    <t>收件人省州（删）</t>
  </si>
  <si>
    <t>收件人城市（删）</t>
  </si>
  <si>
    <r>
      <rPr>
        <sz val="12"/>
        <rFont val="ＭＳ 明朝"/>
        <charset val="134"/>
      </rPr>
      <t>收件人地址（</t>
    </r>
    <r>
      <rPr>
        <sz val="12"/>
        <rFont val="宋体"/>
        <charset val="134"/>
      </rPr>
      <t>删</t>
    </r>
    <r>
      <rPr>
        <sz val="12"/>
        <rFont val="ＭＳ 明朝"/>
        <charset val="134"/>
      </rPr>
      <t>）</t>
    </r>
  </si>
  <si>
    <t>申报品名（删）</t>
  </si>
  <si>
    <t>材质(删)</t>
  </si>
  <si>
    <t>发货地址（删）</t>
  </si>
  <si>
    <t>发货省（删）</t>
  </si>
  <si>
    <r>
      <rPr>
        <sz val="12"/>
        <rFont val="宋体"/>
        <charset val="134"/>
      </rPr>
      <t>发货</t>
    </r>
    <r>
      <rPr>
        <sz val="12"/>
        <rFont val="ＭＳ 明朝"/>
        <charset val="134"/>
      </rPr>
      <t>市（</t>
    </r>
    <r>
      <rPr>
        <sz val="12"/>
        <rFont val="宋体"/>
        <charset val="134"/>
      </rPr>
      <t>删</t>
    </r>
    <r>
      <rPr>
        <sz val="12"/>
        <rFont val="ＭＳ 明朝"/>
        <charset val="134"/>
      </rPr>
      <t>）</t>
    </r>
  </si>
  <si>
    <r>
      <rPr>
        <sz val="12"/>
        <rFont val="ＭＳ 明朝"/>
        <charset val="134"/>
      </rPr>
      <t>收件人地址2（</t>
    </r>
    <r>
      <rPr>
        <sz val="12"/>
        <rFont val="宋体"/>
        <charset val="134"/>
      </rPr>
      <t>删</t>
    </r>
    <r>
      <rPr>
        <sz val="12"/>
        <rFont val="ＭＳ 明朝"/>
        <charset val="134"/>
      </rPr>
      <t>）</t>
    </r>
  </si>
  <si>
    <t>DIDA</t>
  </si>
  <si>
    <t>${row.zhuanDanHao}</t>
  </si>
  <si>
    <t>${row.shouHuoShiZhong}</t>
  </si>
  <si>
    <t>KGM</t>
  </si>
  <si>
    <t>${row.shouJianRenXingMing}</t>
  </si>
  <si>
    <t>${row.shouJianRenYouBian}</t>
  </si>
  <si>
    <t>${row.shouJianRenDianHua}</t>
  </si>
  <si>
    <t xml:space="preserve">HUI ZHOU JING SHAN GONG MAO YOU XIAN GONG SI </t>
  </si>
  <si>
    <t>GUANG DONG SHENG HUI ZHOU SHI HUI CHENG QU QIAO DONG JIE DAO HUI ZHOU SHI HUI ZHOU DA DAO 108 HAO</t>
  </si>
  <si>
    <t>C&amp;F</t>
  </si>
  <si>
    <t>JPY</t>
  </si>
  <si>
    <t>A</t>
  </si>
  <si>
    <t>CN</t>
  </si>
  <si>
    <t>${row.jiJianGongSiMingCheng}</t>
  </si>
  <si>
    <t xml:space="preserve"> ${row.jiJianRenDianHua}</t>
  </si>
  <si>
    <t>C</t>
  </si>
  <si>
    <t>${row.waybillExtraEntity.recipientState}</t>
  </si>
  <si>
    <t>${row.waybillExtraEntity.recipientCity}</t>
  </si>
  <si>
    <t>${row.shouJianRenDiZhi1}</t>
  </si>
  <si>
    <t>${row.shenBaoYingWenMing}</t>
  </si>
  <si>
    <t>${row.getShenBaoXinXiList().get(0).caiZhiEn}</t>
  </si>
  <si>
    <t>${row.getShenBaoXinXiList().get(0).danJia}</t>
  </si>
  <si>
    <t xml:space="preserve"> ${row.jiJianRenDiZhi1}</t>
  </si>
  <si>
    <t>${row.waybillExtraEntity.senderState}</t>
  </si>
  <si>
    <t>${row.waybillExtraEntity.senderCity}</t>
  </si>
  <si>
    <t>${row.shouJianRenDiZhi2}</t>
  </si>
  <si>
    <r>
      <rPr>
        <sz val="11"/>
        <color theme="1"/>
        <rFont val="Arial"/>
        <charset val="134"/>
      </rPr>
      <t>${rows.size()}</t>
    </r>
    <r>
      <rPr>
        <sz val="11"/>
        <color theme="1"/>
        <rFont val="微软雅黑"/>
        <charset val="134"/>
      </rPr>
      <t>票</t>
    </r>
  </si>
  <si>
    <t>PFコード（暫定版）</t>
  </si>
  <si>
    <r>
      <rPr>
        <sz val="11"/>
        <color theme="1"/>
        <rFont val="DengXian"/>
        <charset val="128"/>
        <scheme val="minor"/>
      </rPr>
      <t>（数字</t>
    </r>
    <r>
      <rPr>
        <sz val="11"/>
        <color theme="1"/>
        <rFont val="Microsoft YaHei"/>
        <charset val="134"/>
      </rPr>
      <t>・</t>
    </r>
    <r>
      <rPr>
        <sz val="11"/>
        <color theme="1"/>
        <rFont val="SimSun"/>
        <charset val="134"/>
      </rPr>
      <t>アルファベット順）</t>
    </r>
  </si>
  <si>
    <t>（数字和字母顺序）</t>
  </si>
  <si>
    <t>PFコード</t>
  </si>
  <si>
    <t>PF名称</t>
  </si>
  <si>
    <t>JAE002</t>
  </si>
  <si>
    <t>ARVATO LOGISTICS FZCO</t>
  </si>
  <si>
    <t>JAT001</t>
  </si>
  <si>
    <t>PHIACADEMY GMBH</t>
  </si>
  <si>
    <t>菲亚学院有限公司</t>
  </si>
  <si>
    <t>JAT002</t>
  </si>
  <si>
    <t>ORIGINAL SACHER-TORTEN MANUFAKTUR</t>
  </si>
  <si>
    <t>原创萨赫尔-托尔滕制造</t>
  </si>
  <si>
    <t>JAU004</t>
  </si>
  <si>
    <t xml:space="preserve">MUTIMER </t>
  </si>
  <si>
    <t>穆蒂默</t>
  </si>
  <si>
    <t>JAU005</t>
  </si>
  <si>
    <t>QUADLOCKCASE</t>
  </si>
  <si>
    <t>JAU006</t>
  </si>
  <si>
    <t xml:space="preserve">WILD </t>
  </si>
  <si>
    <t>WILD</t>
  </si>
  <si>
    <t>JAU007</t>
  </si>
  <si>
    <t xml:space="preserve">STEP ONE </t>
  </si>
  <si>
    <t>第一步</t>
  </si>
  <si>
    <t>JAU008</t>
  </si>
  <si>
    <t>FRESHWATER BRANDS</t>
  </si>
  <si>
    <t>淡水品牌</t>
  </si>
  <si>
    <t>JAU009</t>
  </si>
  <si>
    <t xml:space="preserve">BRONZE SNAKE </t>
  </si>
  <si>
    <t>青铜蛇</t>
  </si>
  <si>
    <t>JAU010</t>
  </si>
  <si>
    <t xml:space="preserve">THAT'S SO FETCH </t>
  </si>
  <si>
    <t>那太棒了</t>
  </si>
  <si>
    <t>JAU011</t>
  </si>
  <si>
    <t xml:space="preserve">GLOBAL-E C/O CITY BEACH </t>
  </si>
  <si>
    <t>GLOBAL-E / 城市海滩</t>
  </si>
  <si>
    <t>JAU012</t>
  </si>
  <si>
    <t>ZIGGY ZAZA</t>
  </si>
  <si>
    <t>JAU013</t>
  </si>
  <si>
    <t>MESHKI PTY LTD</t>
  </si>
  <si>
    <t>MESHKI PTY有限公司</t>
  </si>
  <si>
    <t>JAU014</t>
  </si>
  <si>
    <t>BLACKMILK</t>
  </si>
  <si>
    <t>JAU015</t>
  </si>
  <si>
    <t>WHITE FOX BOUTIQUE</t>
  </si>
  <si>
    <t>白色狐狸精品店</t>
  </si>
  <si>
    <t>JAU016</t>
  </si>
  <si>
    <t>SWEATS COLLECTIVE</t>
  </si>
  <si>
    <t>SWEATS集合</t>
  </si>
  <si>
    <t>JAU017</t>
  </si>
  <si>
    <t>PRINCESS POLLY</t>
  </si>
  <si>
    <t>公主波利</t>
  </si>
  <si>
    <t>JAU018</t>
  </si>
  <si>
    <t>KSUBI</t>
  </si>
  <si>
    <t>JAU019</t>
  </si>
  <si>
    <t>RC MAKER</t>
  </si>
  <si>
    <t>JBD001</t>
  </si>
  <si>
    <t>ENHANCE LTD</t>
  </si>
  <si>
    <t>ENHANCE有限公司</t>
  </si>
  <si>
    <t>JCA004</t>
  </si>
  <si>
    <t>EVERLANE</t>
  </si>
  <si>
    <t>JCN007</t>
  </si>
  <si>
    <t>PCBWAY</t>
  </si>
  <si>
    <t>JCN008</t>
  </si>
  <si>
    <t>SNOWVERB</t>
  </si>
  <si>
    <t>JCN009</t>
  </si>
  <si>
    <t>TOBIDAIKO</t>
  </si>
  <si>
    <t>JCN010</t>
  </si>
  <si>
    <t>SHANGHAI KWEI RUNNING EC.CO.LTD</t>
  </si>
  <si>
    <t>上海KWEI跑步EC.CO.LTD</t>
  </si>
  <si>
    <t>JCN011</t>
  </si>
  <si>
    <t>SHENZHEN MOORECHIP TECHNOLOGIES LIMITED</t>
  </si>
  <si>
    <t>深圳MOORECHIP科技有限公司</t>
  </si>
  <si>
    <t>JCN012</t>
  </si>
  <si>
    <t>SEEED DEVELOPMENT LIMITED</t>
  </si>
  <si>
    <t>SEEED发展有限公司</t>
  </si>
  <si>
    <t>JCN013</t>
  </si>
  <si>
    <t>SONGTUO TRADING LIMITED</t>
  </si>
  <si>
    <t>SONGTUO贸易有限公司</t>
  </si>
  <si>
    <t>JCN014</t>
  </si>
  <si>
    <t>AEROBAND</t>
  </si>
  <si>
    <t>JCN015</t>
  </si>
  <si>
    <t>JOYTOY</t>
  </si>
  <si>
    <t>JCN016</t>
  </si>
  <si>
    <t>VGNAL.COM</t>
  </si>
  <si>
    <t>JCZ001</t>
  </si>
  <si>
    <t>PRUSA RESEARCH A.S.</t>
  </si>
  <si>
    <t>PRUSA研究A.S.</t>
  </si>
  <si>
    <t>JDE005</t>
  </si>
  <si>
    <t>FRAKONNEX</t>
  </si>
  <si>
    <t>JDE006</t>
  </si>
  <si>
    <t>CANYON BICYCLES GMBH</t>
  </si>
  <si>
    <t>CANYON自行车有限公司</t>
  </si>
  <si>
    <t>JDE007</t>
  </si>
  <si>
    <t>CANYON BICYCLES KOBLENZ</t>
  </si>
  <si>
    <t>CANYON自行车科布伦茨</t>
  </si>
  <si>
    <t>JDE008</t>
  </si>
  <si>
    <t>THOMANN GMBH</t>
  </si>
  <si>
    <t>THOMANN有限公司</t>
  </si>
  <si>
    <t>JDE009</t>
  </si>
  <si>
    <t>ADIDAS AG</t>
  </si>
  <si>
    <t>阿迪达斯股份公司</t>
  </si>
  <si>
    <t>JES003</t>
  </si>
  <si>
    <t>PARIS64BRAND SL</t>
  </si>
  <si>
    <t>巴黎64品牌SL</t>
  </si>
  <si>
    <t>JES004</t>
  </si>
  <si>
    <t>TRADEINN RETAIL SERVICES S.L</t>
  </si>
  <si>
    <t>TRADEINN零售服务S.L</t>
  </si>
  <si>
    <t>JES005</t>
  </si>
  <si>
    <t>TINYCOTTONS S.L.U.</t>
  </si>
  <si>
    <t>JES006</t>
  </si>
  <si>
    <t>GIMAGUAS</t>
  </si>
  <si>
    <t>吉马瓜斯</t>
  </si>
  <si>
    <t>JES007</t>
  </si>
  <si>
    <t>PURO PASEO S.L.</t>
  </si>
  <si>
    <t>普罗帕塞奥S.L.</t>
  </si>
  <si>
    <t>JFR003</t>
  </si>
  <si>
    <t>AMBASSADE DE BOURGOGNE</t>
  </si>
  <si>
    <t>勃艮第大使馆</t>
  </si>
  <si>
    <t>JFR004</t>
  </si>
  <si>
    <t>DOMAINE FLEUROT LAROSE</t>
  </si>
  <si>
    <t>弗洛罗拉罗斯庄园</t>
  </si>
  <si>
    <t>JFR005</t>
  </si>
  <si>
    <t>LA GRANDE BOUTIQUE DU VIN</t>
  </si>
  <si>
    <t>葡萄酒大商店</t>
  </si>
  <si>
    <t>JFR006</t>
  </si>
  <si>
    <t>LEGRAND FILLES ET FILS</t>
  </si>
  <si>
    <t>勒格朗女儿和儿子</t>
  </si>
  <si>
    <t>JFR007</t>
  </si>
  <si>
    <t>BORDEAUX CLASSIQUE</t>
  </si>
  <si>
    <t>波尔多经典</t>
  </si>
  <si>
    <t>JFR008</t>
  </si>
  <si>
    <t>DILETTANTES</t>
  </si>
  <si>
    <t>爱好者</t>
  </si>
  <si>
    <t>JFR009</t>
  </si>
  <si>
    <t>GRAND CRU CLUB</t>
  </si>
  <si>
    <t>大酒窖俱乐部</t>
  </si>
  <si>
    <t>JFR010</t>
  </si>
  <si>
    <t>WINE KINGDOM</t>
  </si>
  <si>
    <t>葡萄酒王国</t>
  </si>
  <si>
    <t>JFR011</t>
  </si>
  <si>
    <t>DOMAINE BRUNO LORENZON</t>
  </si>
  <si>
    <t>布鲁诺洛伦宗酒庄</t>
  </si>
  <si>
    <t>JFR012</t>
  </si>
  <si>
    <t>LA MAISON DE MAURICE</t>
  </si>
  <si>
    <t>莫里斯之家</t>
  </si>
  <si>
    <t>JFR013</t>
  </si>
  <si>
    <t>DOMAINE MICHEL GROS</t>
  </si>
  <si>
    <t>米歇尔格罗斯酒庄</t>
  </si>
  <si>
    <t>JFR014</t>
  </si>
  <si>
    <t>NICOLAS</t>
  </si>
  <si>
    <t>尼古拉斯</t>
  </si>
  <si>
    <t>JFR015</t>
  </si>
  <si>
    <t>PALOMAS</t>
  </si>
  <si>
    <t>帕洛马斯</t>
  </si>
  <si>
    <t>JFR016</t>
  </si>
  <si>
    <t>JACQUES LACOMBE SARL</t>
  </si>
  <si>
    <t>雅克拉科姆SARL</t>
  </si>
  <si>
    <t>JFR017</t>
  </si>
  <si>
    <t>SA RATEAU</t>
  </si>
  <si>
    <t>萨拉托</t>
  </si>
  <si>
    <t>JFR018</t>
  </si>
  <si>
    <t>SO ARE WE</t>
  </si>
  <si>
    <t>我们也是</t>
  </si>
  <si>
    <t>JFR019</t>
  </si>
  <si>
    <t>LES CAVES DE TAILLEVENT</t>
  </si>
  <si>
    <t>塔伊尔旺酒窖</t>
  </si>
  <si>
    <t>JFR020</t>
  </si>
  <si>
    <t>TRENTE TROIS</t>
  </si>
  <si>
    <t>三十三</t>
  </si>
  <si>
    <t>JFR021</t>
  </si>
  <si>
    <t>ULYSSE CAZABONNE</t>
  </si>
  <si>
    <t>尤利斯卡扎博恩</t>
  </si>
  <si>
    <t>JFR022</t>
  </si>
  <si>
    <t>LA CAVE DU CHATEAU</t>
  </si>
  <si>
    <t>城堡酒窖</t>
  </si>
  <si>
    <t>JFR023</t>
  </si>
  <si>
    <t>DENIS PERRET</t>
  </si>
  <si>
    <t>德尼斯佩雷</t>
  </si>
  <si>
    <t>JFR024</t>
  </si>
  <si>
    <t>DOMAINE JAUME</t>
  </si>
  <si>
    <t>多米尼克约姆</t>
  </si>
  <si>
    <t>JFR025</t>
  </si>
  <si>
    <t>MON MILLESIME</t>
  </si>
  <si>
    <t>我的年份</t>
  </si>
  <si>
    <t>JFR026</t>
  </si>
  <si>
    <t>DOMAINE MICHEL NOELLAT</t>
  </si>
  <si>
    <t>米歇尔诺拉酒庄</t>
  </si>
  <si>
    <t>JFR027</t>
  </si>
  <si>
    <t>LA CAVE DES PAPILLES</t>
  </si>
  <si>
    <t>味蕾酒窖</t>
  </si>
  <si>
    <t>JFR028</t>
  </si>
  <si>
    <t>DOMAINE ARMELLE ET BERNARD RION</t>
  </si>
  <si>
    <t>阿梅尔和贝尔纳里翁酒庄</t>
  </si>
  <si>
    <t>JFR029</t>
  </si>
  <si>
    <t>CAVE DES SACRES</t>
  </si>
  <si>
    <t>圣酒窖</t>
  </si>
  <si>
    <t>JFR030</t>
  </si>
  <si>
    <t>LA VINOTHEQUE DE BORDEAUX</t>
  </si>
  <si>
    <t>波尔多葡萄酒馆</t>
  </si>
  <si>
    <t>JFR031</t>
  </si>
  <si>
    <t>STELLAE INTERNATIONAL FRANCE C/O MICHINO PARIS</t>
  </si>
  <si>
    <t>斯泰莱国际法国/米奇诺巴黎</t>
  </si>
  <si>
    <t>JFR032</t>
  </si>
  <si>
    <t>PHARM LUX / ELIQUID FRANCE</t>
  </si>
  <si>
    <t>法马卢克斯/电子液体法国</t>
  </si>
  <si>
    <t>JFR033</t>
  </si>
  <si>
    <t>PHILIBERT / PHILIBERT</t>
  </si>
  <si>
    <t>菲利伯特/菲利伯特</t>
  </si>
  <si>
    <t>JFR034</t>
  </si>
  <si>
    <t>JUSTINE CLENQUET</t>
  </si>
  <si>
    <t>朱斯蒂娜克莱奎特</t>
  </si>
  <si>
    <t>JFR035</t>
  </si>
  <si>
    <t>GONG SUP 1 SARL</t>
  </si>
  <si>
    <t>JGB016</t>
  </si>
  <si>
    <t>BOXRAW LTD</t>
  </si>
  <si>
    <t>BOXRAW有限公司</t>
  </si>
  <si>
    <t>JGB017</t>
  </si>
  <si>
    <t>BRITISH BOOT COMPANY</t>
  </si>
  <si>
    <t>英国靴子公司</t>
  </si>
  <si>
    <t>JGB018</t>
  </si>
  <si>
    <t>CHARLES TYRWHITT SHIRTS</t>
  </si>
  <si>
    <t>查尔斯·蒂尔威特衬衫</t>
  </si>
  <si>
    <t>JGB019</t>
  </si>
  <si>
    <t>DESIGN ASYLUM RETAIL</t>
  </si>
  <si>
    <t>设计庇护所零售</t>
  </si>
  <si>
    <t>JGB020</t>
  </si>
  <si>
    <t>GHOST RETAIL</t>
  </si>
  <si>
    <t>幽灵零售</t>
  </si>
  <si>
    <t>JGB021</t>
  </si>
  <si>
    <t>NORTH SHOES</t>
  </si>
  <si>
    <t>北鞋</t>
  </si>
  <si>
    <t>JGB022</t>
  </si>
  <si>
    <t>SKINNY DIP</t>
  </si>
  <si>
    <t>瘦薄</t>
  </si>
  <si>
    <t>JGB023</t>
  </si>
  <si>
    <t>LF MARKEY</t>
  </si>
  <si>
    <t>JGB024</t>
  </si>
  <si>
    <t>UTTAM</t>
  </si>
  <si>
    <t>JGB025</t>
  </si>
  <si>
    <t>VARLEY</t>
  </si>
  <si>
    <t>瓦利</t>
  </si>
  <si>
    <t>JGB026</t>
  </si>
  <si>
    <t>VENDULA LONDON LTD</t>
  </si>
  <si>
    <t>JGB027</t>
  </si>
  <si>
    <t>WHITCIRC LTD</t>
  </si>
  <si>
    <t>JGB028</t>
  </si>
  <si>
    <t>11 DEGREES</t>
  </si>
  <si>
    <t>11度</t>
  </si>
  <si>
    <t>JGB029</t>
  </si>
  <si>
    <t>3DTOTAL SHOP</t>
  </si>
  <si>
    <t>3DTOTAL商店</t>
  </si>
  <si>
    <t>JGB030</t>
  </si>
  <si>
    <t>A WAY WITH MEDIA LTD</t>
  </si>
  <si>
    <t>有媒体方式有限公司</t>
  </si>
  <si>
    <t>JGB031</t>
  </si>
  <si>
    <t>ALL BEAUTY</t>
  </si>
  <si>
    <t>所有美丽</t>
  </si>
  <si>
    <t>JGB032</t>
  </si>
  <si>
    <t>ALL SOLE</t>
  </si>
  <si>
    <t>所有sole</t>
  </si>
  <si>
    <t>JGB033</t>
  </si>
  <si>
    <t>AMELIORATE</t>
  </si>
  <si>
    <t>改善</t>
  </si>
  <si>
    <t>JGB034</t>
  </si>
  <si>
    <t>BAKER ROSS</t>
  </si>
  <si>
    <t>贝克·罗斯</t>
  </si>
  <si>
    <t>JGB035</t>
  </si>
  <si>
    <t>BEAUTY EXPERT</t>
  </si>
  <si>
    <t>美容专家</t>
  </si>
  <si>
    <t>JGB036</t>
  </si>
  <si>
    <t>BERGHAUS</t>
  </si>
  <si>
    <t>贝尔豪斯</t>
  </si>
  <si>
    <t>JGB037</t>
  </si>
  <si>
    <t>BODEN</t>
  </si>
  <si>
    <t>博登</t>
  </si>
  <si>
    <t>JGB038</t>
  </si>
  <si>
    <t>CANTERBURY</t>
  </si>
  <si>
    <t>坎特伯雷</t>
  </si>
  <si>
    <t>JGB039</t>
  </si>
  <si>
    <t>COGGLES</t>
  </si>
  <si>
    <t>JGB040</t>
  </si>
  <si>
    <t>CULT BEAUTY</t>
  </si>
  <si>
    <t>文化美容</t>
  </si>
  <si>
    <t>JGB041</t>
  </si>
  <si>
    <t>EURO JAPAN TRADING CO.</t>
  </si>
  <si>
    <t>欧洲日本贸易公司</t>
  </si>
  <si>
    <t>JGB042</t>
  </si>
  <si>
    <t>HQHAIR</t>
  </si>
  <si>
    <t>JGB043</t>
  </si>
  <si>
    <t>ILLAMASQUA</t>
  </si>
  <si>
    <t>JGB044</t>
  </si>
  <si>
    <t>KITBAG</t>
  </si>
  <si>
    <t>JGB045</t>
  </si>
  <si>
    <t>LOOKFANTASTIC</t>
  </si>
  <si>
    <t>JGB046</t>
  </si>
  <si>
    <t>MANKIND</t>
  </si>
  <si>
    <t>男人国</t>
  </si>
  <si>
    <t>JGB047</t>
  </si>
  <si>
    <t>MILITARY 1ST</t>
  </si>
  <si>
    <t>军事第一</t>
  </si>
  <si>
    <t>JGB048</t>
  </si>
  <si>
    <t>MISSY EMPIRE</t>
  </si>
  <si>
    <t>JGB049</t>
  </si>
  <si>
    <t>MY BAG</t>
  </si>
  <si>
    <t>我的包</t>
  </si>
  <si>
    <t>JGB050</t>
  </si>
  <si>
    <t>NEW LOOK</t>
  </si>
  <si>
    <t>新外观</t>
  </si>
  <si>
    <t>JGB051</t>
  </si>
  <si>
    <t>OLIVER BONAS</t>
  </si>
  <si>
    <t>奥利弗·博纳斯</t>
  </si>
  <si>
    <t>JGB052</t>
  </si>
  <si>
    <t>RAPHA</t>
  </si>
  <si>
    <t>Rapha</t>
  </si>
  <si>
    <t>JGB053</t>
  </si>
  <si>
    <t>SISTER JANE</t>
  </si>
  <si>
    <t>Sister Jane</t>
  </si>
  <si>
    <t>JGB054</t>
  </si>
  <si>
    <t>SPEEDO</t>
  </si>
  <si>
    <t>Speedo</t>
  </si>
  <si>
    <t>JGB055</t>
  </si>
  <si>
    <t>SPORTS DIRECT</t>
  </si>
  <si>
    <t>体育直通</t>
  </si>
  <si>
    <t>JGB056</t>
  </si>
  <si>
    <t>CAMDEN TOOLS</t>
  </si>
  <si>
    <t>卡姆登工具</t>
  </si>
  <si>
    <t>JGB057</t>
  </si>
  <si>
    <t>PERFECT FIT</t>
  </si>
  <si>
    <t>完美贴合</t>
  </si>
  <si>
    <t>JGB058</t>
  </si>
  <si>
    <t>THE HUT</t>
  </si>
  <si>
    <t>茅屋</t>
  </si>
  <si>
    <t>JGB059</t>
  </si>
  <si>
    <t>ROULEUR</t>
  </si>
  <si>
    <t>JGB060</t>
  </si>
  <si>
    <t>IDA SHOP</t>
  </si>
  <si>
    <t>IDA商店</t>
  </si>
  <si>
    <t>JGB061</t>
  </si>
  <si>
    <t>MAD ABOUT SKIN</t>
  </si>
  <si>
    <t>疯狂皮肤</t>
  </si>
  <si>
    <t>JGB062</t>
  </si>
  <si>
    <t>M&amp;CO</t>
  </si>
  <si>
    <t>JGB063</t>
  </si>
  <si>
    <t>THE WHITE COMPANY</t>
  </si>
  <si>
    <t>白色公司</t>
  </si>
  <si>
    <t>JGB064</t>
  </si>
  <si>
    <t>HOMO LONDON</t>
  </si>
  <si>
    <t>伦敦人</t>
  </si>
  <si>
    <t>JGB065</t>
  </si>
  <si>
    <t>SILVER MUSHROOM</t>
  </si>
  <si>
    <t>银色蘑菇</t>
  </si>
  <si>
    <t>JGB066</t>
  </si>
  <si>
    <t>JADED LONDON</t>
  </si>
  <si>
    <t>伦敦颓废派</t>
  </si>
  <si>
    <t>JGB067</t>
  </si>
  <si>
    <t>WILLIAMS GROUP</t>
  </si>
  <si>
    <t>威廉姆斯集团</t>
  </si>
  <si>
    <t>JGB068</t>
  </si>
  <si>
    <t>GLOBE ENTERPRISE</t>
  </si>
  <si>
    <t>全球企业</t>
  </si>
  <si>
    <t>JGB069</t>
  </si>
  <si>
    <t>YARDSALE</t>
  </si>
  <si>
    <t>庭院销售</t>
  </si>
  <si>
    <t>JGB070</t>
  </si>
  <si>
    <t>YOURS CLOTHING.</t>
  </si>
  <si>
    <t>你的服装。</t>
  </si>
  <si>
    <t>JGB071</t>
  </si>
  <si>
    <t>NOURISHED</t>
  </si>
  <si>
    <t>滋养</t>
  </si>
  <si>
    <t>JGB072</t>
  </si>
  <si>
    <t xml:space="preserve">BRIGHTON &amp; HOVE </t>
  </si>
  <si>
    <t>布莱顿与霍夫</t>
  </si>
  <si>
    <t>JGB073</t>
  </si>
  <si>
    <t>BOOK DELIVERLY</t>
  </si>
  <si>
    <t>书籍递送</t>
  </si>
  <si>
    <t>JGB074</t>
  </si>
  <si>
    <t>PBSHOP</t>
  </si>
  <si>
    <t>JGB075</t>
  </si>
  <si>
    <t>PRESTO MUSIC</t>
  </si>
  <si>
    <t>普雷斯特音乐</t>
  </si>
  <si>
    <t>JGB076</t>
  </si>
  <si>
    <t>DOOMSDAYCO</t>
  </si>
  <si>
    <t>末日公司</t>
  </si>
  <si>
    <t>JGB077</t>
  </si>
  <si>
    <t>DRESSMEZEE</t>
  </si>
  <si>
    <t>JGB078</t>
  </si>
  <si>
    <t>GOVIERS</t>
  </si>
  <si>
    <t>JGB079</t>
  </si>
  <si>
    <t>HIGH DIVE APPAREL</t>
  </si>
  <si>
    <t>高跳服饰</t>
  </si>
  <si>
    <t>JGB080</t>
  </si>
  <si>
    <t>PRO-RACE EXHAUST SYSTEMS</t>
  </si>
  <si>
    <t>专业赛车排气系统</t>
  </si>
  <si>
    <t>JGB081</t>
  </si>
  <si>
    <t>SINNERS ATTIRE</t>
  </si>
  <si>
    <t>罪人装扮</t>
  </si>
  <si>
    <t>JGB082</t>
  </si>
  <si>
    <t>TESSA METCALFE</t>
  </si>
  <si>
    <t>JGB083</t>
  </si>
  <si>
    <t>UNKNOWN LONDON</t>
  </si>
  <si>
    <t>未知伦敦</t>
  </si>
  <si>
    <t>JGB084</t>
  </si>
  <si>
    <t>SHASHINGIFT</t>
  </si>
  <si>
    <t>JGB085</t>
  </si>
  <si>
    <t>I AM ME</t>
  </si>
  <si>
    <t>我就是我</t>
  </si>
  <si>
    <t>JGB086</t>
  </si>
  <si>
    <t>BEGG × CO</t>
  </si>
  <si>
    <t>JGB087</t>
  </si>
  <si>
    <t>ESPA</t>
  </si>
  <si>
    <t>JGB088</t>
  </si>
  <si>
    <t>GODDIVA</t>
  </si>
  <si>
    <t>JGB089</t>
  </si>
  <si>
    <t>UNIK</t>
  </si>
  <si>
    <t>JGB090</t>
  </si>
  <si>
    <t>JDS</t>
  </si>
  <si>
    <t>JGB091</t>
  </si>
  <si>
    <t xml:space="preserve">BRAND SAUCE LIMITED </t>
  </si>
  <si>
    <t>品牌酱有限公司</t>
  </si>
  <si>
    <t>JGB092</t>
  </si>
  <si>
    <t>THOM BROWNE - NEW YORK</t>
  </si>
  <si>
    <t>汤姆布朗 - 纽约</t>
  </si>
  <si>
    <t>JGB093</t>
  </si>
  <si>
    <t>FORTNUM &amp; MASON</t>
  </si>
  <si>
    <t>JGB094</t>
  </si>
  <si>
    <t>TAYLOR AND FRANCIS (TJ)</t>
  </si>
  <si>
    <t>泰勒与弗朗西斯 (TJ)</t>
  </si>
  <si>
    <t>JGB095</t>
  </si>
  <si>
    <t>ATOM SUPPLIES LTD</t>
  </si>
  <si>
    <t>JGB096</t>
  </si>
  <si>
    <t>BANANAFINGERS LTD FR</t>
  </si>
  <si>
    <t>JGB097</t>
  </si>
  <si>
    <t>KIKO KOSTADINOV LTD.</t>
  </si>
  <si>
    <t>JGB098</t>
  </si>
  <si>
    <t>CLASSIC ALFA LTD</t>
  </si>
  <si>
    <t>经典阿尔法有限公司</t>
  </si>
  <si>
    <t>JGB099</t>
  </si>
  <si>
    <t>J CARTER SPORTING CLUB LIMITED</t>
  </si>
  <si>
    <t>JGB100</t>
  </si>
  <si>
    <t>MACKINTOSH LTD</t>
  </si>
  <si>
    <t>麦金托什有限公司</t>
  </si>
  <si>
    <t>JGB101</t>
  </si>
  <si>
    <t>SIMONE ROCHA MOUNT STREET STORE</t>
  </si>
  <si>
    <t>西蒙娜·罗莎蒙特街店</t>
  </si>
  <si>
    <t>JGB102</t>
  </si>
  <si>
    <t>OH POLLY LIMITED</t>
  </si>
  <si>
    <t>JGB103</t>
  </si>
  <si>
    <t>NAKED WOLFE</t>
  </si>
  <si>
    <t>JGB104</t>
  </si>
  <si>
    <t>SIDELINE DESIGN LTD</t>
  </si>
  <si>
    <t>SIDELINE DESIGN 有限公司</t>
  </si>
  <si>
    <t>JGB105</t>
  </si>
  <si>
    <t>WWW.MONICAVINADER.COM</t>
  </si>
  <si>
    <t>JGB106</t>
  </si>
  <si>
    <t>TAYLOR AND FRANCIS</t>
  </si>
  <si>
    <t>泰勒与弗朗西斯</t>
  </si>
  <si>
    <t>JHK008</t>
  </si>
  <si>
    <t>1 SHOP MOBILE</t>
  </si>
  <si>
    <t>1号店铺移动</t>
  </si>
  <si>
    <t>JHK009</t>
  </si>
  <si>
    <t>FOREO</t>
  </si>
  <si>
    <t>斐洛</t>
  </si>
  <si>
    <t>JHK010</t>
  </si>
  <si>
    <t>GNC LIVEWELL</t>
  </si>
  <si>
    <t>GNC健安喜</t>
  </si>
  <si>
    <t>JHK011</t>
  </si>
  <si>
    <t>SMARTBUYGLASSES</t>
  </si>
  <si>
    <t>SMARTBUYGLASSES光学商城</t>
  </si>
  <si>
    <t>JHK012</t>
  </si>
  <si>
    <t>ABLECARRY</t>
  </si>
  <si>
    <t>JHK013</t>
  </si>
  <si>
    <t>AMERICAN EAGLE</t>
  </si>
  <si>
    <t>美国鹰牌</t>
  </si>
  <si>
    <t>JHK014</t>
  </si>
  <si>
    <t>STRAWBERRYNET</t>
  </si>
  <si>
    <t>草莓网</t>
  </si>
  <si>
    <t>JHK015</t>
  </si>
  <si>
    <t>EMBER</t>
  </si>
  <si>
    <t>恩伯</t>
  </si>
  <si>
    <t>JHK016</t>
  </si>
  <si>
    <t>7GOODS</t>
  </si>
  <si>
    <t>JHK017</t>
  </si>
  <si>
    <t>KEYCHRON ELECTRONICS (SHENZHEN) CO., LTD</t>
  </si>
  <si>
    <t>键速电子（深圳）有限公司</t>
  </si>
  <si>
    <t>JHK018</t>
  </si>
  <si>
    <t>NET-A-PORTER</t>
  </si>
  <si>
    <t>NET-A-PORTER时尚奢侈品电商</t>
  </si>
  <si>
    <t>JHK019</t>
  </si>
  <si>
    <t>LANE CRAWFORD (HK) LTD.</t>
  </si>
  <si>
    <t>连卡佛（香港）有限公司</t>
  </si>
  <si>
    <t>JHK020</t>
  </si>
  <si>
    <t>HAKUYOU TSUHAN INC.</t>
  </si>
  <si>
    <t>白洋通信公司</t>
  </si>
  <si>
    <t>JHK021</t>
  </si>
  <si>
    <t>RHINOSHIELD</t>
  </si>
  <si>
    <t>犀牛盾</t>
  </si>
  <si>
    <t>JHK022</t>
  </si>
  <si>
    <t>OSAKADOU</t>
  </si>
  <si>
    <t>大阪堂</t>
  </si>
  <si>
    <t>JHK023</t>
  </si>
  <si>
    <t>ORANDAYA</t>
  </si>
  <si>
    <t>JHK024</t>
  </si>
  <si>
    <t>BEST-E</t>
  </si>
  <si>
    <t>JHK025</t>
  </si>
  <si>
    <t>IST</t>
  </si>
  <si>
    <t>JHK026</t>
  </si>
  <si>
    <t>ASF</t>
  </si>
  <si>
    <t>JHK027</t>
  </si>
  <si>
    <t>VIRILITY SHOP</t>
  </si>
  <si>
    <t>JHK028</t>
  </si>
  <si>
    <t>JISA</t>
  </si>
  <si>
    <t>JHK029</t>
  </si>
  <si>
    <t>SAIKA</t>
  </si>
  <si>
    <t>JHK030</t>
  </si>
  <si>
    <t>KYUKYUYA.COM</t>
  </si>
  <si>
    <t>JIN002</t>
  </si>
  <si>
    <t>ULTRAHUMAN HEALTHCARE PVT LTD</t>
  </si>
  <si>
    <t>JIN003</t>
  </si>
  <si>
    <t>GENIE EXPORTS PVT LTD</t>
  </si>
  <si>
    <t>JIT014</t>
  </si>
  <si>
    <t>DOLCE&amp;GABBANA</t>
  </si>
  <si>
    <t>杜嘉班纳</t>
  </si>
  <si>
    <t>JIT015</t>
  </si>
  <si>
    <t>WINETIP</t>
  </si>
  <si>
    <t>JIT016</t>
  </si>
  <si>
    <t xml:space="preserve">CHRISTIAN VILLA </t>
  </si>
  <si>
    <t>克里斯蒂安别墅</t>
  </si>
  <si>
    <t>JIT017</t>
  </si>
  <si>
    <t>MR PORTER</t>
  </si>
  <si>
    <t>JIT018</t>
  </si>
  <si>
    <t>BRUNA ROSSO SRL</t>
  </si>
  <si>
    <t>布鲁纳罗索有限公司</t>
  </si>
  <si>
    <t>JIT019</t>
  </si>
  <si>
    <t>GOLDEN GOOSE</t>
  </si>
  <si>
    <t>黄金鹅</t>
  </si>
  <si>
    <t>JIT020</t>
  </si>
  <si>
    <t>VALEXTRA SPA</t>
  </si>
  <si>
    <t>JIT021</t>
  </si>
  <si>
    <t>LIDIA SHOPPING SRL</t>
  </si>
  <si>
    <t>莉迪亚购物有限公司</t>
  </si>
  <si>
    <t>JIT022</t>
  </si>
  <si>
    <t>BASE BLU SRL</t>
  </si>
  <si>
    <t>JIT023</t>
  </si>
  <si>
    <t>SPINNAKER SRL</t>
  </si>
  <si>
    <t>JIT024</t>
  </si>
  <si>
    <t>SOCIETA' SPORTIVA CALCIO NAPOL</t>
  </si>
  <si>
    <t>那不勒斯足球俱乐部</t>
  </si>
  <si>
    <t>JJP033</t>
  </si>
  <si>
    <t>TENSONEKO</t>
  </si>
  <si>
    <t>JJP034</t>
  </si>
  <si>
    <t>TAOBAOSHINKANSEN</t>
  </si>
  <si>
    <t>淘宝新干线</t>
  </si>
  <si>
    <t>JJP008</t>
  </si>
  <si>
    <t>AYA COMPANY LIMITED</t>
  </si>
  <si>
    <t>AYA有限公司</t>
  </si>
  <si>
    <t>JJP009</t>
  </si>
  <si>
    <t>VAPESTUDIO</t>
  </si>
  <si>
    <t>JJP010</t>
  </si>
  <si>
    <t>BLACKUP</t>
  </si>
  <si>
    <t>JJP011</t>
  </si>
  <si>
    <t>TIMEFLIK</t>
  </si>
  <si>
    <t>JJP012</t>
  </si>
  <si>
    <t>BELINDA</t>
  </si>
  <si>
    <t>JJP013</t>
  </si>
  <si>
    <t>POLANTOKKI</t>
  </si>
  <si>
    <t>JJP014</t>
  </si>
  <si>
    <t>GH. BASS &amp; CO</t>
  </si>
  <si>
    <t>JJP015</t>
  </si>
  <si>
    <t>J.PRESS</t>
  </si>
  <si>
    <t>JJP016</t>
  </si>
  <si>
    <t>THREE STORE</t>
  </si>
  <si>
    <t>JJP017</t>
  </si>
  <si>
    <t>FIRE-KING JAPAN</t>
  </si>
  <si>
    <t>JJP018</t>
  </si>
  <si>
    <t>WATER WISE</t>
  </si>
  <si>
    <t>JJP019</t>
  </si>
  <si>
    <t>ROAD RUNNER BAGS</t>
  </si>
  <si>
    <t>JJP020</t>
  </si>
  <si>
    <t>MY MOODS LLC</t>
  </si>
  <si>
    <t>JJP021</t>
  </si>
  <si>
    <t>DOTERRA</t>
  </si>
  <si>
    <t>JJP022</t>
  </si>
  <si>
    <t>ENGEVITY</t>
  </si>
  <si>
    <t>JJP023</t>
  </si>
  <si>
    <t>POSSIM CO. LTD</t>
  </si>
  <si>
    <t>JJP024</t>
  </si>
  <si>
    <t>INTERPHOENIX</t>
  </si>
  <si>
    <t>JJP025</t>
  </si>
  <si>
    <t>ABERCROMBIE &amp; FITCH</t>
  </si>
  <si>
    <t>JJP026</t>
  </si>
  <si>
    <t>HOLLISTER</t>
  </si>
  <si>
    <t>JJP027</t>
  </si>
  <si>
    <t>SOLVE</t>
  </si>
  <si>
    <t>JJP028</t>
  </si>
  <si>
    <t>VELOVITA</t>
  </si>
  <si>
    <t>JJP029</t>
  </si>
  <si>
    <t>THEFOUNDERS</t>
  </si>
  <si>
    <t>JJP030</t>
  </si>
  <si>
    <t>POP MART</t>
  </si>
  <si>
    <t>泡泡玛特</t>
  </si>
  <si>
    <t>JJP031</t>
  </si>
  <si>
    <t>WAY OF WADE</t>
  </si>
  <si>
    <t>韦德之道</t>
  </si>
  <si>
    <t>JJP032</t>
  </si>
  <si>
    <t>BROOKS BROTHERS</t>
  </si>
  <si>
    <t>布鲁克斯兄弟</t>
  </si>
  <si>
    <t>JKR006</t>
  </si>
  <si>
    <t>11AM</t>
  </si>
  <si>
    <t>JKR007</t>
  </si>
  <si>
    <t>66GIRLS</t>
  </si>
  <si>
    <t>JKR008</t>
  </si>
  <si>
    <t>AWAB</t>
  </si>
  <si>
    <t>JKR009</t>
  </si>
  <si>
    <t>BAON</t>
  </si>
  <si>
    <t>JKR010</t>
  </si>
  <si>
    <t>BLUEPOPS</t>
  </si>
  <si>
    <t>JKR011</t>
  </si>
  <si>
    <t>BULLANG GIRLS</t>
  </si>
  <si>
    <t>JKR012</t>
  </si>
  <si>
    <t>DOROSIWA</t>
  </si>
  <si>
    <t>JKR013</t>
  </si>
  <si>
    <t>ESLENA</t>
  </si>
  <si>
    <t>JKR014</t>
  </si>
  <si>
    <t>FANSLIKE</t>
  </si>
  <si>
    <t>JKR015</t>
  </si>
  <si>
    <t>FROMBEGINNING</t>
  </si>
  <si>
    <t>JKR016</t>
  </si>
  <si>
    <t>FROMHEADTOTOE</t>
  </si>
  <si>
    <t>JKR017</t>
  </si>
  <si>
    <t>KABANER</t>
  </si>
  <si>
    <t>JKR018</t>
  </si>
  <si>
    <t>KCLUB</t>
  </si>
  <si>
    <t>JKR019</t>
  </si>
  <si>
    <t>LAGIRL</t>
  </si>
  <si>
    <t>JKR020</t>
  </si>
  <si>
    <t>LOVEANDPOP</t>
  </si>
  <si>
    <t>JKR021</t>
  </si>
  <si>
    <t>MATEYOON</t>
  </si>
  <si>
    <t>JKR022</t>
  </si>
  <si>
    <t>MNEM</t>
  </si>
  <si>
    <t>JKR023</t>
  </si>
  <si>
    <t>OVERDUEFLAIR</t>
  </si>
  <si>
    <t>JKR024</t>
  </si>
  <si>
    <t>POPOKII</t>
  </si>
  <si>
    <t>JKR025</t>
  </si>
  <si>
    <t>PENACOVA</t>
  </si>
  <si>
    <t>JKR026</t>
  </si>
  <si>
    <t>THREETIMES</t>
  </si>
  <si>
    <t>JKR027</t>
  </si>
  <si>
    <t>THEVERLIN</t>
  </si>
  <si>
    <t>JKR028</t>
  </si>
  <si>
    <t>MITUNOLENS</t>
  </si>
  <si>
    <t>JKR029</t>
  </si>
  <si>
    <t>RELX</t>
  </si>
  <si>
    <t>JKR030</t>
  </si>
  <si>
    <t>DEAR DILLY</t>
  </si>
  <si>
    <t>JKR031</t>
  </si>
  <si>
    <t>BIGC</t>
  </si>
  <si>
    <t>大C</t>
  </si>
  <si>
    <t>JKR032</t>
  </si>
  <si>
    <t>MWAVE</t>
  </si>
  <si>
    <t>M波</t>
  </si>
  <si>
    <t>JKR033</t>
  </si>
  <si>
    <t>MY MUSIC TASTE</t>
  </si>
  <si>
    <t>我的音乐品味</t>
  </si>
  <si>
    <t>JKR034</t>
  </si>
  <si>
    <t>HENU JAPAN/SHOPIFY</t>
  </si>
  <si>
    <t>JKR035</t>
  </si>
  <si>
    <t>K-STORE/CAFE24</t>
  </si>
  <si>
    <t>JKR036</t>
  </si>
  <si>
    <t>XODIARK/CAFE24</t>
  </si>
  <si>
    <t>JKR037</t>
  </si>
  <si>
    <t>YES 24</t>
  </si>
  <si>
    <t>是24</t>
  </si>
  <si>
    <t>JKR038</t>
  </si>
  <si>
    <t>MUAE</t>
  </si>
  <si>
    <t>JKR039</t>
  </si>
  <si>
    <t>ENPRANI</t>
  </si>
  <si>
    <t>安普兰尼</t>
  </si>
  <si>
    <t>JKR040</t>
  </si>
  <si>
    <t>MINI RECORD</t>
  </si>
  <si>
    <t>JKR041</t>
  </si>
  <si>
    <t>AMUSE</t>
  </si>
  <si>
    <t>JKR042</t>
  </si>
  <si>
    <t>FOURCOMPANY JP</t>
  </si>
  <si>
    <t>JKR043</t>
  </si>
  <si>
    <t>WCONCEPT KOREA</t>
  </si>
  <si>
    <t>JKR044</t>
  </si>
  <si>
    <t>BEAUTYOFJOSEON</t>
  </si>
  <si>
    <t>美丽之约</t>
  </si>
  <si>
    <t>JMY002</t>
  </si>
  <si>
    <t>TITAN STAR RESOURCES SDN BHD</t>
  </si>
  <si>
    <t>JMY003</t>
  </si>
  <si>
    <t>TASCO BERHAD</t>
  </si>
  <si>
    <t>JNL003</t>
  </si>
  <si>
    <t>RITUALS COSMETICS ENTERPRISE</t>
  </si>
  <si>
    <t>JNL004</t>
  </si>
  <si>
    <t>MWS B.V.</t>
  </si>
  <si>
    <t>JNL005</t>
  </si>
  <si>
    <t>ERG MEDIA B.V.</t>
  </si>
  <si>
    <t>JNL006</t>
  </si>
  <si>
    <t>WA NETHERLANDS B.V</t>
  </si>
  <si>
    <t>JNO002</t>
  </si>
  <si>
    <t>SCANDI CANDY</t>
  </si>
  <si>
    <t>斯堪的纳维亚糖果</t>
  </si>
  <si>
    <t>JNO003</t>
  </si>
  <si>
    <t>TIM WENDELBOE AS</t>
  </si>
  <si>
    <t>JNZ001</t>
  </si>
  <si>
    <t>AG1 NEW ZEALAND LTD</t>
  </si>
  <si>
    <t>JNZ002</t>
  </si>
  <si>
    <t>GOODLIDS</t>
  </si>
  <si>
    <t>JNZ003</t>
  </si>
  <si>
    <t>VELOBIKE INNOVATION LIMITED</t>
  </si>
  <si>
    <t>JNZ004</t>
  </si>
  <si>
    <t>MITOQ LIMITED</t>
  </si>
  <si>
    <t>JPK001</t>
  </si>
  <si>
    <t>LAAM PVT LTD</t>
  </si>
  <si>
    <t>JPT001</t>
  </si>
  <si>
    <t>POETIC HARMONY</t>
  </si>
  <si>
    <t>诗意和谐</t>
  </si>
  <si>
    <t>JRU001</t>
  </si>
  <si>
    <t>SV LLC</t>
  </si>
  <si>
    <t>JSE003</t>
  </si>
  <si>
    <t>MYRKL</t>
  </si>
  <si>
    <t>JSE005</t>
  </si>
  <si>
    <t>MINI RODINI</t>
  </si>
  <si>
    <t>JSE006</t>
  </si>
  <si>
    <t>VIS (SHANGHAI) TECHNOLOGY LIMITED</t>
  </si>
  <si>
    <t>JSE007</t>
  </si>
  <si>
    <t>NA-KD</t>
  </si>
  <si>
    <t>JSG005</t>
  </si>
  <si>
    <t>LENSLABO</t>
  </si>
  <si>
    <t>JSG006</t>
  </si>
  <si>
    <t>SATURDAYCLUB SINGAPORE</t>
  </si>
  <si>
    <t>JSG007</t>
  </si>
  <si>
    <t>UNICITY</t>
  </si>
  <si>
    <t>JSG008</t>
  </si>
  <si>
    <t xml:space="preserve">EDDELUX PTE LTD </t>
  </si>
  <si>
    <t>EDDELUX PTE LTD</t>
  </si>
  <si>
    <t>JSG009</t>
  </si>
  <si>
    <t xml:space="preserve">THE EDITOR'S MARKET PTE LTD </t>
  </si>
  <si>
    <t>THE EDITOR'S MARKET PTE LTD</t>
  </si>
  <si>
    <t>JSG010</t>
  </si>
  <si>
    <t xml:space="preserve">ANOTHERSOLE INTERNATIONAL PTE LTD </t>
  </si>
  <si>
    <t>ANOTHERSOLE INTERNATIONAL PTE LTD</t>
  </si>
  <si>
    <t>JSG011</t>
  </si>
  <si>
    <t xml:space="preserve">BY INVITE ONLY </t>
  </si>
  <si>
    <t>仅限邀请</t>
  </si>
  <si>
    <t>JSG012</t>
  </si>
  <si>
    <t xml:space="preserve">THEORY INC PTE LTD </t>
  </si>
  <si>
    <t>THEORY INC PTE LTD 公司</t>
  </si>
  <si>
    <t>JSG013</t>
  </si>
  <si>
    <t>DINT</t>
  </si>
  <si>
    <t>JSG014</t>
  </si>
  <si>
    <t>BWL ONLINE SYSTEMS PTE. LTD</t>
  </si>
  <si>
    <t>BWL ONLINE SYSTEMS PTE. LTD 公司</t>
  </si>
  <si>
    <t>JSG015</t>
  </si>
  <si>
    <t>OMIGHTY</t>
  </si>
  <si>
    <t>JSG016</t>
  </si>
  <si>
    <t>DELUGS</t>
  </si>
  <si>
    <t>JSG017</t>
  </si>
  <si>
    <t>LUNOJI</t>
  </si>
  <si>
    <t>JSG018</t>
  </si>
  <si>
    <t>LOVEBONITO SINGAPORE PTE LTD</t>
  </si>
  <si>
    <t>LOVEBONITO SINGAPORE PTE LTD 公司</t>
  </si>
  <si>
    <t>JSG019</t>
  </si>
  <si>
    <t>DOVER STREET MARKET (SINGAPORE) PTE LTD</t>
  </si>
  <si>
    <t>DOVER STREET MARKET (SINGAPORE) PTE LTD 公司</t>
  </si>
  <si>
    <t>JUS044</t>
  </si>
  <si>
    <t>BEHAPPY!!!</t>
  </si>
  <si>
    <t>JUS045</t>
  </si>
  <si>
    <t>SHOP OCS</t>
  </si>
  <si>
    <t>JUS046</t>
  </si>
  <si>
    <t>SMILE US</t>
  </si>
  <si>
    <t>JUS047</t>
  </si>
  <si>
    <t>URBAN OUTFITTERS, INC.</t>
  </si>
  <si>
    <t>URBAN OUTFITTERS, INC. 公司</t>
  </si>
  <si>
    <t>JUS048</t>
  </si>
  <si>
    <t>PRINTIFY</t>
  </si>
  <si>
    <t>JUS049</t>
  </si>
  <si>
    <t>TOUCHSTONE ESSENTIALS</t>
  </si>
  <si>
    <t>JUS050</t>
  </si>
  <si>
    <t>YOUNGEVITY</t>
  </si>
  <si>
    <t>JUS051</t>
  </si>
  <si>
    <t>PRUVIT</t>
  </si>
  <si>
    <t>JUS052</t>
  </si>
  <si>
    <t>LOVEBIOME</t>
  </si>
  <si>
    <t>JUS053</t>
  </si>
  <si>
    <t>TM3 UNITED</t>
  </si>
  <si>
    <t>JUS054</t>
  </si>
  <si>
    <t>SUPER PATCH</t>
  </si>
  <si>
    <t>JUS055</t>
  </si>
  <si>
    <t>AMANATOOL</t>
  </si>
  <si>
    <t>JUS056</t>
  </si>
  <si>
    <t>LUMIN</t>
  </si>
  <si>
    <t>JUS057</t>
  </si>
  <si>
    <t>TRAINZ</t>
  </si>
  <si>
    <t>JUS058</t>
  </si>
  <si>
    <t>TURNTABLE LAB</t>
  </si>
  <si>
    <t>JUS059</t>
  </si>
  <si>
    <t>BLOOM NUTRITION</t>
  </si>
  <si>
    <t>JUS060</t>
  </si>
  <si>
    <t>DL1961</t>
  </si>
  <si>
    <t>JUS061</t>
  </si>
  <si>
    <t>LITTLE CHONK</t>
  </si>
  <si>
    <t>JUS062</t>
  </si>
  <si>
    <t>MADEWELL</t>
  </si>
  <si>
    <t>JUS063</t>
  </si>
  <si>
    <t>MVMT</t>
  </si>
  <si>
    <t>JUS064</t>
  </si>
  <si>
    <t>RUELALA</t>
  </si>
  <si>
    <t>JUS065</t>
  </si>
  <si>
    <t>ANTHROPOLOGIE, INC.</t>
  </si>
  <si>
    <t>ANTHROPOLOGIE, INC. 公司</t>
  </si>
  <si>
    <t>JUS066</t>
  </si>
  <si>
    <t>CLOTH &amp; PAPER</t>
  </si>
  <si>
    <t>JUS067</t>
  </si>
  <si>
    <t>FUTUREBIOTICS</t>
  </si>
  <si>
    <t>JUS068</t>
  </si>
  <si>
    <t>GIFT FROM NEW YORK</t>
  </si>
  <si>
    <t>JUS069</t>
  </si>
  <si>
    <t>J.CREW</t>
  </si>
  <si>
    <t>JUS070</t>
  </si>
  <si>
    <t>LIMITED RUN GAMES</t>
  </si>
  <si>
    <t>JUS071</t>
  </si>
  <si>
    <t>SAKS FIFTH AVENUE</t>
  </si>
  <si>
    <t>JUS072</t>
  </si>
  <si>
    <t>VERA BRADLEY SALES, LLC.</t>
  </si>
  <si>
    <t>VERA BRADLEY SALES, LLC. 公司</t>
  </si>
  <si>
    <t>JUS073</t>
  </si>
  <si>
    <t>VICTORIA'S SECRET</t>
  </si>
  <si>
    <t>JUS074</t>
  </si>
  <si>
    <t>ATM COLLECTION</t>
  </si>
  <si>
    <t>JUS075</t>
  </si>
  <si>
    <t>OLE HENRIKSEN</t>
  </si>
  <si>
    <t>JUS076</t>
  </si>
  <si>
    <t>THE DONNA KARAN COMPANY STORE LLC</t>
  </si>
  <si>
    <t>THE DONNA KARAN COMPANY STORE LLC 公司</t>
  </si>
  <si>
    <t>JUS077</t>
  </si>
  <si>
    <t>PIPING ROCK</t>
  </si>
  <si>
    <t>JUS078</t>
  </si>
  <si>
    <t>ACE HARDWARE</t>
  </si>
  <si>
    <t>ACE硬件</t>
  </si>
  <si>
    <t>JUS079</t>
  </si>
  <si>
    <t>BULK SUPPLEMENTS</t>
  </si>
  <si>
    <t>大批量补充品</t>
  </si>
  <si>
    <t>JUS080</t>
  </si>
  <si>
    <t>AG1 (USA), INC.</t>
  </si>
  <si>
    <t>AG1 (美国), 有限公司</t>
  </si>
  <si>
    <t>JUS081</t>
  </si>
  <si>
    <t>WE ARE AMMA</t>
  </si>
  <si>
    <t>我们是Amma</t>
  </si>
  <si>
    <t>JUS082</t>
  </si>
  <si>
    <t>CHIRP</t>
  </si>
  <si>
    <t>鸣叫</t>
  </si>
  <si>
    <t>JUS083</t>
  </si>
  <si>
    <t>DRMTLGY</t>
  </si>
  <si>
    <t>JUS084</t>
  </si>
  <si>
    <t>ECZEMA HONEY CO</t>
  </si>
  <si>
    <t>湿疹蜂蜜公司</t>
  </si>
  <si>
    <t>JUS085</t>
  </si>
  <si>
    <t>FRAGRANT JEWELS</t>
  </si>
  <si>
    <t>芬芳宝石</t>
  </si>
  <si>
    <t>JUS086</t>
  </si>
  <si>
    <t>LOS ANGELES APPAREL</t>
  </si>
  <si>
    <t>洛杉矶服装</t>
  </si>
  <si>
    <t>JUS087</t>
  </si>
  <si>
    <t>ORCHID EIGHT</t>
  </si>
  <si>
    <t>orchid eight</t>
  </si>
  <si>
    <t>JUS088</t>
  </si>
  <si>
    <t>WILDLING</t>
  </si>
  <si>
    <t>野性</t>
  </si>
  <si>
    <t>JUS089</t>
  </si>
  <si>
    <t>BACK TA BASICS</t>
  </si>
  <si>
    <t>回到基础</t>
  </si>
  <si>
    <t>JUS090</t>
  </si>
  <si>
    <t>BODI CAFE</t>
  </si>
  <si>
    <t>Bodi Cafe</t>
  </si>
  <si>
    <t>JUS091</t>
  </si>
  <si>
    <t>WINGSTUFF.COM</t>
  </si>
  <si>
    <t>Wingstuff.com</t>
  </si>
  <si>
    <t>JUS092</t>
  </si>
  <si>
    <t xml:space="preserve">FASHION NOVA, LLC </t>
  </si>
  <si>
    <t>时尚诺瓦, LLC</t>
  </si>
  <si>
    <t>JUS093</t>
  </si>
  <si>
    <t>MARUHIDE</t>
  </si>
  <si>
    <t>JUS094</t>
  </si>
  <si>
    <t>BEST WIGSUSA</t>
  </si>
  <si>
    <t>美国最佳假发</t>
  </si>
  <si>
    <t>JUS095</t>
  </si>
  <si>
    <t>HASHIGO WORKS</t>
  </si>
  <si>
    <t>Hashigo Works</t>
  </si>
  <si>
    <t>JUS096</t>
  </si>
  <si>
    <t>THE INCONVENIENCE STORE</t>
  </si>
  <si>
    <t>不便商店</t>
  </si>
  <si>
    <t>JUS097</t>
  </si>
  <si>
    <t>POWERHOUSE GYM LAS VEGAS</t>
  </si>
  <si>
    <t>拉斯维加斯Powerhouse Gym</t>
  </si>
  <si>
    <t>JUS098</t>
  </si>
  <si>
    <t>KAWASAKI</t>
  </si>
  <si>
    <t>川崎</t>
  </si>
  <si>
    <t>JUS099</t>
  </si>
  <si>
    <t>WINE NOSE CLUB</t>
  </si>
  <si>
    <t>酒鼻子俱乐部</t>
  </si>
  <si>
    <t>JUS100</t>
  </si>
  <si>
    <t>NIPPON DENTAL</t>
  </si>
  <si>
    <t>日本牙科</t>
  </si>
  <si>
    <t>JUS101</t>
  </si>
  <si>
    <t>UPSTAIRS TENT</t>
  </si>
  <si>
    <t>楼上帐篷</t>
  </si>
  <si>
    <t>JUS102</t>
  </si>
  <si>
    <t>SHIKA-MALL.COM</t>
  </si>
  <si>
    <t>Shika-Mall.com</t>
  </si>
  <si>
    <t>JUS103</t>
  </si>
  <si>
    <t>SMARTFUN.COM</t>
  </si>
  <si>
    <t>Smartfun.com</t>
  </si>
  <si>
    <t>JUS104</t>
  </si>
  <si>
    <t>SUPMART</t>
  </si>
  <si>
    <t>Supmart</t>
  </si>
  <si>
    <t>JUS105</t>
  </si>
  <si>
    <t>WORKS U.S.A.</t>
  </si>
  <si>
    <t>美国工作</t>
  </si>
  <si>
    <t>JUS106</t>
  </si>
  <si>
    <t>YOUNGLA</t>
  </si>
  <si>
    <t>Youngla</t>
  </si>
  <si>
    <t>JUS107</t>
  </si>
  <si>
    <t>HEALTHY SUPPORT</t>
  </si>
  <si>
    <t>健康支持</t>
  </si>
  <si>
    <t>JUS108</t>
  </si>
  <si>
    <t>PUBLIC REC</t>
  </si>
  <si>
    <t>公共记录</t>
  </si>
  <si>
    <t>JUS109</t>
  </si>
  <si>
    <t>SKIMS BODY, INC.</t>
  </si>
  <si>
    <t>SKIMS身体，有限公司</t>
  </si>
  <si>
    <t>JUS110</t>
  </si>
  <si>
    <t>TOMBOYX</t>
  </si>
  <si>
    <t>Tomboyx</t>
  </si>
  <si>
    <t>JUS111</t>
  </si>
  <si>
    <t>VEGAMOUR, INC.</t>
  </si>
  <si>
    <t>Vegamour, 有限公司</t>
  </si>
  <si>
    <t>JUS112</t>
  </si>
  <si>
    <t>VINTAGE COMPUTER INC.</t>
  </si>
  <si>
    <t>复古计算机公司</t>
  </si>
  <si>
    <t>JUS113</t>
  </si>
  <si>
    <t>SUPLINX CORP</t>
  </si>
  <si>
    <t>Suplinx Corp</t>
  </si>
  <si>
    <t>JUS114</t>
  </si>
  <si>
    <t>ABC STORES</t>
  </si>
  <si>
    <t>ABC商店</t>
  </si>
  <si>
    <t>JUS115</t>
  </si>
  <si>
    <t>ALOHA FABRICS HULA &amp; CRAFTS</t>
  </si>
  <si>
    <t>夏威夷花布、草裙和手工艺品</t>
  </si>
  <si>
    <t>JUS116</t>
  </si>
  <si>
    <t>AT DAWN.</t>
  </si>
  <si>
    <t>在黎明时分。</t>
  </si>
  <si>
    <t>JUS117</t>
  </si>
  <si>
    <t>BIG ISLAND CANDIES</t>
  </si>
  <si>
    <t>大岛糖果</t>
  </si>
  <si>
    <t>JUS118</t>
  </si>
  <si>
    <t>CRUSH WAIKIKI</t>
  </si>
  <si>
    <t>Crush Waikiki</t>
  </si>
  <si>
    <t>JUS119</t>
  </si>
  <si>
    <t>ECOENTERPRISE LLC</t>
  </si>
  <si>
    <t>Ecoenterprise LLC</t>
  </si>
  <si>
    <t>JUS120</t>
  </si>
  <si>
    <t>HONOLULU COOKIE COMPANY</t>
  </si>
  <si>
    <t>檀香山饼干公司</t>
  </si>
  <si>
    <t>JUS121</t>
  </si>
  <si>
    <t>HONOLULU JEWELRY COMPANY</t>
  </si>
  <si>
    <t>檀香山珠宝公司</t>
  </si>
  <si>
    <t>JUS122</t>
  </si>
  <si>
    <t>LIILIILEA</t>
  </si>
  <si>
    <t>莉莉莉拉</t>
  </si>
  <si>
    <t>JUS123</t>
  </si>
  <si>
    <t>US DENTAL EXPRESS</t>
  </si>
  <si>
    <t>美国牙科快递</t>
  </si>
  <si>
    <t>JUS124</t>
  </si>
  <si>
    <t xml:space="preserve">MISA'S FASHION CAFE </t>
  </si>
  <si>
    <t>米萨时尚咖啡馆</t>
  </si>
  <si>
    <t>JUS125</t>
  </si>
  <si>
    <t>BEAUTYLISH</t>
  </si>
  <si>
    <t>美容丽</t>
  </si>
  <si>
    <t>JUS126</t>
  </si>
  <si>
    <t>ORITZ GIFT SERVICES</t>
  </si>
  <si>
    <t>奥里茨礼品服务</t>
  </si>
  <si>
    <t>JUS127</t>
  </si>
  <si>
    <t>KONGSGAARD WINE</t>
  </si>
  <si>
    <t>孔斯加德葡萄酒</t>
  </si>
  <si>
    <t>JUS128</t>
  </si>
  <si>
    <t>FLORA OPTIMA</t>
  </si>
  <si>
    <t>弗洛拉奥普蒂玛</t>
  </si>
  <si>
    <t>JUS129</t>
  </si>
  <si>
    <t>NU SKIN</t>
  </si>
  <si>
    <t>新肌肤</t>
  </si>
  <si>
    <t>JUS130</t>
  </si>
  <si>
    <t>BEST PRICE NUTRITION</t>
  </si>
  <si>
    <t>最佳价格营养</t>
  </si>
  <si>
    <t>JUS131</t>
  </si>
  <si>
    <t>ASTROHAUS INC.</t>
  </si>
  <si>
    <t>阿斯特罗豪斯公司</t>
  </si>
  <si>
    <t>JUS132</t>
  </si>
  <si>
    <t xml:space="preserve">GAMER SUPPS INC. </t>
  </si>
  <si>
    <t>游戏玩家补剂公司</t>
  </si>
  <si>
    <t>JUS133</t>
  </si>
  <si>
    <t>SKINCO, LLC</t>
  </si>
  <si>
    <t>JUS134</t>
  </si>
  <si>
    <t>NUTSAC</t>
  </si>
  <si>
    <t>坚果萨克</t>
  </si>
  <si>
    <t>JUS135</t>
  </si>
  <si>
    <t>SUPPLY CO.,</t>
  </si>
  <si>
    <t>供应公司</t>
  </si>
  <si>
    <t>JUS136</t>
  </si>
  <si>
    <t>SUPPLEMENT WAREHOUSE</t>
  </si>
  <si>
    <t>补剂仓库</t>
  </si>
  <si>
    <t>JUS137</t>
  </si>
  <si>
    <t>TARTE INC.</t>
  </si>
  <si>
    <t>塔特公司</t>
  </si>
  <si>
    <t>JUS138</t>
  </si>
  <si>
    <t>TROPIC OF C</t>
  </si>
  <si>
    <t>热带C</t>
  </si>
  <si>
    <t>JUS139</t>
  </si>
  <si>
    <t>URSA MAJOR</t>
  </si>
  <si>
    <t>乌尔萨大师</t>
  </si>
  <si>
    <t>JUS140</t>
  </si>
  <si>
    <t>INGRAM BOOK GROUP LLC</t>
  </si>
  <si>
    <t>英格拉姆图书集团 LLC</t>
  </si>
  <si>
    <t>JUS141</t>
  </si>
  <si>
    <t>BCBGMAXAZRIA</t>
  </si>
  <si>
    <t>JUS142</t>
  </si>
  <si>
    <t>OPTIMUM NUTRITION</t>
  </si>
  <si>
    <t>最佳营养</t>
  </si>
  <si>
    <t>JUS143</t>
  </si>
  <si>
    <t>HOVERCAT APPAREL LLC</t>
  </si>
  <si>
    <t>霍弗猫服装 LLC</t>
  </si>
  <si>
    <t>JUS144</t>
  </si>
  <si>
    <t>ALLIANCE ENTERTAINMENT LLC</t>
  </si>
  <si>
    <t>联盟娱乐 LLC</t>
  </si>
  <si>
    <t>JUS145</t>
  </si>
  <si>
    <t>ORIGO SHOES</t>
  </si>
  <si>
    <t>奥里戈鞋类</t>
  </si>
  <si>
    <t>JUS146</t>
  </si>
  <si>
    <t>FULLBEAUTY BRANDS</t>
  </si>
  <si>
    <t>全美品牌</t>
  </si>
  <si>
    <t>JUS147</t>
  </si>
  <si>
    <t>FENTY BEAUTY</t>
  </si>
  <si>
    <t>芬蒂美容</t>
  </si>
  <si>
    <t>JUS148</t>
  </si>
  <si>
    <t>NORDSTROM, INC.</t>
  </si>
  <si>
    <t>诺德斯特龙公司</t>
  </si>
  <si>
    <t>JUS149</t>
  </si>
  <si>
    <t>ZUBAL BOOKS</t>
  </si>
  <si>
    <t>祖巴尔图书</t>
  </si>
  <si>
    <t>JUS150</t>
  </si>
  <si>
    <t>SOLAWAVE</t>
  </si>
  <si>
    <t>索拉韦</t>
  </si>
  <si>
    <t>JUS151</t>
  </si>
  <si>
    <t>4LIFE RESEARCH</t>
  </si>
  <si>
    <t>4LIFE研究</t>
  </si>
  <si>
    <t>JUS152</t>
  </si>
  <si>
    <t>ACTIVZ</t>
  </si>
  <si>
    <t>JUS153</t>
  </si>
  <si>
    <t>ASEA GLOBAL</t>
  </si>
  <si>
    <t>ASEA全球</t>
  </si>
  <si>
    <t>JUS154</t>
  </si>
  <si>
    <t>LIVEPURE</t>
  </si>
  <si>
    <t>JUS155</t>
  </si>
  <si>
    <t>NEUMI</t>
  </si>
  <si>
    <t>纽米</t>
  </si>
  <si>
    <t>JUS156</t>
  </si>
  <si>
    <t>BODE PRO</t>
  </si>
  <si>
    <t>JUS157</t>
  </si>
  <si>
    <t>NUTRITIONAL LIFE LINES, INC.</t>
  </si>
  <si>
    <t>营养生活线公司</t>
  </si>
  <si>
    <t>JUS158</t>
  </si>
  <si>
    <t>III INTERNATIONAL, LLC</t>
  </si>
  <si>
    <t>III国际 LLC</t>
  </si>
  <si>
    <t>JUS159</t>
  </si>
  <si>
    <t>MY DESTINY PRODUCTS LLC</t>
  </si>
  <si>
    <t>我的命运产品 LLC</t>
  </si>
  <si>
    <t>JUS160</t>
  </si>
  <si>
    <t>TRUVY</t>
  </si>
  <si>
    <t>特鲁维</t>
  </si>
  <si>
    <t>JUS161</t>
  </si>
  <si>
    <t>FAIRWAY GOLF, INC</t>
  </si>
  <si>
    <t>公平道高尔夫公司</t>
  </si>
  <si>
    <t>JUS162</t>
  </si>
  <si>
    <t>SBS SPORTS</t>
  </si>
  <si>
    <t>SBS体育</t>
  </si>
  <si>
    <t>JUS163</t>
  </si>
  <si>
    <t>CALI TESORO</t>
  </si>
  <si>
    <t>卡利特索罗</t>
  </si>
  <si>
    <t>JUS164</t>
  </si>
  <si>
    <t>PAI FULFILLMENT</t>
  </si>
  <si>
    <t>派履行</t>
  </si>
  <si>
    <t>JUS165</t>
  </si>
  <si>
    <t>VALABASAS</t>
  </si>
  <si>
    <t>瓦拉瓦萨斯</t>
  </si>
  <si>
    <t>JUS166</t>
  </si>
  <si>
    <t>GNUHR</t>
  </si>
  <si>
    <t>JUS167</t>
  </si>
  <si>
    <t>MISHA AND PUFF</t>
  </si>
  <si>
    <t>米莎和蓬蓬</t>
  </si>
  <si>
    <t>JUS168</t>
  </si>
  <si>
    <t>AQ SKIN SOLUTIONS, INC.</t>
  </si>
  <si>
    <t>AQ皮肤解决方案公司</t>
  </si>
  <si>
    <t>JUS169</t>
  </si>
  <si>
    <t>DERBY OF SAN FRANCISCO</t>
  </si>
  <si>
    <t>旧金山德比</t>
  </si>
  <si>
    <t>JUS170</t>
  </si>
  <si>
    <t>MICROSOFT</t>
  </si>
  <si>
    <t>微软</t>
  </si>
  <si>
    <t>JUS171</t>
  </si>
  <si>
    <t>HIDDEN PPF</t>
  </si>
  <si>
    <t>隐藏PPF</t>
  </si>
  <si>
    <t>JUS172</t>
  </si>
  <si>
    <t>RECREATIONAL EQUIPMENT INC</t>
  </si>
  <si>
    <t>休闲设备公司</t>
  </si>
  <si>
    <t>JUS173</t>
  </si>
  <si>
    <t>C/O STELLAE INTERNATIONAL INC.</t>
  </si>
  <si>
    <t>C/O STELLAE国际公司</t>
  </si>
  <si>
    <t>JUS174</t>
  </si>
  <si>
    <t>DISTRICT VISION</t>
  </si>
  <si>
    <t>区域视觉</t>
  </si>
  <si>
    <t>JUS175</t>
  </si>
  <si>
    <t>AMERICAN INTAKE</t>
  </si>
  <si>
    <t>美国摄入</t>
  </si>
  <si>
    <t>JUS176</t>
  </si>
  <si>
    <t>MERCHNOW</t>
  </si>
  <si>
    <t>JUS177</t>
  </si>
  <si>
    <t>CATBIRD</t>
  </si>
  <si>
    <t>猫鸟</t>
  </si>
  <si>
    <t>JUS178</t>
  </si>
  <si>
    <t>TARTE COSMETICS</t>
  </si>
  <si>
    <t>塔特化妆品</t>
  </si>
  <si>
    <t>PAU002</t>
  </si>
  <si>
    <t>SENSO</t>
  </si>
  <si>
    <t>PAU003</t>
  </si>
  <si>
    <t>BUTTER GOODS PTY LTD</t>
  </si>
  <si>
    <t>BUTTER商品 Pty Ltd</t>
  </si>
  <si>
    <t>PAU004</t>
  </si>
  <si>
    <t>LONELYPLANET</t>
  </si>
  <si>
    <t>孤独星球</t>
  </si>
  <si>
    <t>PCN003</t>
  </si>
  <si>
    <t>SHENZHEN XIN RUI ZHI INDUSTRIAL CO., LTD</t>
  </si>
  <si>
    <t>深圳信瑞志工业有限公司</t>
  </si>
  <si>
    <t>PCN004</t>
  </si>
  <si>
    <t>DONGGUAN YIYI TECHNOLOGY CO., LTD</t>
  </si>
  <si>
    <t>东莞一亿科技有限公司</t>
  </si>
  <si>
    <t>PCN005</t>
  </si>
  <si>
    <t>PFR006</t>
  </si>
  <si>
    <t>FD</t>
  </si>
  <si>
    <t>PFR007</t>
  </si>
  <si>
    <t>AXAL / ALCANTARA &amp; RITZ</t>
  </si>
  <si>
    <t>PFR008</t>
  </si>
  <si>
    <t>FFT C/O L4 LOGISTIQUE</t>
  </si>
  <si>
    <t>FFT C/O L4物流</t>
  </si>
  <si>
    <t>PFR009</t>
  </si>
  <si>
    <t>ROSE PASSION</t>
  </si>
  <si>
    <t>玫瑰激情</t>
  </si>
  <si>
    <t>PGB013</t>
  </si>
  <si>
    <t>HAVRE DE LUXE</t>
  </si>
  <si>
    <t>哈弗德豪华</t>
  </si>
  <si>
    <t>PGB014</t>
  </si>
  <si>
    <t>CPI</t>
  </si>
  <si>
    <t>PGB015</t>
  </si>
  <si>
    <t>UVU CLUB</t>
  </si>
  <si>
    <t>UVU俱乐部</t>
  </si>
  <si>
    <t>PGB016</t>
  </si>
  <si>
    <t>MEMENTO EXCLUSIVES</t>
  </si>
  <si>
    <t>MEMENTO独家</t>
  </si>
  <si>
    <t>PGB017</t>
  </si>
  <si>
    <t>WHISKY AUCTIONEER LTD</t>
  </si>
  <si>
    <t>威士忌拍卖商有限公司</t>
  </si>
  <si>
    <t>PHK003</t>
  </si>
  <si>
    <t>TSANG CHRISTINE (NOVELSHIP)</t>
  </si>
  <si>
    <t>PID001</t>
  </si>
  <si>
    <t>SUKOU MINI</t>
  </si>
  <si>
    <t>PIN004</t>
  </si>
  <si>
    <t>PRAGATI HEALTHCARE</t>
  </si>
  <si>
    <t>PRAGATI医疗保健</t>
  </si>
  <si>
    <t>PIN005</t>
  </si>
  <si>
    <t>INDOPHILIA PRIVATE LIMITED</t>
  </si>
  <si>
    <t>INDOPHILIA私人有限公司</t>
  </si>
  <si>
    <t>PIT008</t>
  </si>
  <si>
    <t>SLAMJAM C/O SNATT</t>
  </si>
  <si>
    <t>PIT009</t>
  </si>
  <si>
    <t>ITASERV B.V.</t>
  </si>
  <si>
    <t>PJP008</t>
  </si>
  <si>
    <t>YAHOO! AUCTIONS</t>
  </si>
  <si>
    <t>PJP009</t>
  </si>
  <si>
    <t>SATURNSPARK NVS</t>
  </si>
  <si>
    <t>PJP010</t>
  </si>
  <si>
    <t>7SGOOD</t>
  </si>
  <si>
    <t>PKR006</t>
  </si>
  <si>
    <t>CJ OLIVEYOUNG</t>
  </si>
  <si>
    <t>PKR007</t>
  </si>
  <si>
    <t>AMOREPACIFIC</t>
  </si>
  <si>
    <t>PKR008</t>
  </si>
  <si>
    <t>SW TREND</t>
  </si>
  <si>
    <t>PKR009</t>
  </si>
  <si>
    <t>BENOW</t>
  </si>
  <si>
    <t>PKR010</t>
  </si>
  <si>
    <t>MEDICARELABS</t>
  </si>
  <si>
    <t>PNO002</t>
  </si>
  <si>
    <t>NORRONA C/O DSV</t>
  </si>
  <si>
    <t>PPL002</t>
  </si>
  <si>
    <t>GWD CONCEPT SP Z O.O.</t>
  </si>
  <si>
    <t>PPT001</t>
  </si>
  <si>
    <t>MINGA LONDON</t>
  </si>
  <si>
    <t>PSG003</t>
  </si>
  <si>
    <t>TIK TOK SHOP</t>
  </si>
  <si>
    <t>PSG004</t>
  </si>
  <si>
    <t>UNDO HAIRWARE</t>
  </si>
  <si>
    <t>PSG005</t>
  </si>
  <si>
    <t>KRISSHOP PTE. LTD. (KSECC)</t>
  </si>
  <si>
    <t>PSG006</t>
  </si>
  <si>
    <t>ELSEVIER INC</t>
  </si>
  <si>
    <t>PTH002</t>
  </si>
  <si>
    <t>THAICD ONLINE LTD.,PART.</t>
  </si>
  <si>
    <t>PTW002</t>
  </si>
  <si>
    <t>INVINCIBLE CREATIVE CO. LTD</t>
  </si>
  <si>
    <t>PTW003</t>
  </si>
  <si>
    <t>JOWUA INTERNATIONAL LIMITED TAIWAN BRANCH</t>
  </si>
  <si>
    <t>PTW004</t>
  </si>
  <si>
    <t>PRESCO NETMARKETING,INC.</t>
  </si>
  <si>
    <t>PUS010</t>
  </si>
  <si>
    <t>FUN</t>
  </si>
  <si>
    <t>PUS011</t>
  </si>
  <si>
    <t>HAL LEONARD</t>
  </si>
  <si>
    <t>PUS012</t>
  </si>
  <si>
    <t>ECS TUNING</t>
  </si>
  <si>
    <t>PUS013</t>
  </si>
  <si>
    <t>FANGAMER</t>
  </si>
  <si>
    <t>PUS014</t>
  </si>
  <si>
    <t>KAVISO</t>
  </si>
  <si>
    <t>PUS015</t>
  </si>
  <si>
    <t>ACOUSTIC SOUNDS</t>
  </si>
  <si>
    <t>PUS016</t>
  </si>
  <si>
    <t>BASS PRO SHOP</t>
  </si>
  <si>
    <t>PUS017</t>
  </si>
  <si>
    <t>CHARITYSTARS</t>
  </si>
  <si>
    <t>PUS018</t>
  </si>
  <si>
    <t>BIGBADTOYSTORE</t>
  </si>
  <si>
    <t>PUS019</t>
  </si>
  <si>
    <t>DUSTY GROOVE</t>
  </si>
  <si>
    <t>PUS020</t>
  </si>
  <si>
    <t>JEGS</t>
  </si>
  <si>
    <t>PUS021</t>
  </si>
  <si>
    <t>HERITAGE AUCTIONS</t>
  </si>
  <si>
    <t>PUS022</t>
  </si>
  <si>
    <t>IFIXIT</t>
  </si>
  <si>
    <t>PUS023</t>
  </si>
  <si>
    <t>ACUSHNET CHOLDINGS CORP.</t>
  </si>
  <si>
    <t>PUS024</t>
  </si>
  <si>
    <t>DLT</t>
  </si>
  <si>
    <t>PUS025</t>
  </si>
  <si>
    <t>GLIDING EAGLE</t>
  </si>
  <si>
    <t>PUS026</t>
  </si>
  <si>
    <t>DEATHWISH INC</t>
  </si>
  <si>
    <t>PUS027</t>
  </si>
  <si>
    <t>USHOPMALL</t>
  </si>
  <si>
    <t>PUS028</t>
  </si>
  <si>
    <t>LINEFRIENDS</t>
  </si>
  <si>
    <t>PUS029</t>
  </si>
  <si>
    <t>JOYCE</t>
  </si>
  <si>
    <t>PUS030</t>
  </si>
  <si>
    <t>ATELIER</t>
  </si>
  <si>
    <t>PUS031</t>
  </si>
  <si>
    <t>MYUS.COM</t>
  </si>
  <si>
    <t>我的美国网站</t>
  </si>
  <si>
    <t>PUS032</t>
  </si>
  <si>
    <t>PEAK DESIGN</t>
  </si>
  <si>
    <t>顶点设计</t>
  </si>
  <si>
    <t>PUS033</t>
  </si>
  <si>
    <t>GRAILED</t>
  </si>
  <si>
    <t>格雷尔德</t>
  </si>
  <si>
    <t>PUS034</t>
  </si>
  <si>
    <t>FISHISFAST</t>
  </si>
  <si>
    <t>鱼快</t>
  </si>
  <si>
    <t>PUS035</t>
  </si>
  <si>
    <t>SEKAIMON</t>
  </si>
  <si>
    <t>世界门</t>
  </si>
  <si>
    <t>PUS036</t>
  </si>
  <si>
    <t>TRADE WORKS ASIA LIMITED.</t>
  </si>
  <si>
    <t>亚洲贸易工作有限公司</t>
  </si>
  <si>
    <t>PUS037</t>
  </si>
  <si>
    <t>NEWEGG INC</t>
  </si>
  <si>
    <t>新蛋公司</t>
  </si>
  <si>
    <t>PUS038</t>
  </si>
  <si>
    <t>SHIPPING MANAGER</t>
  </si>
  <si>
    <t>航运经理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</si>
</sst>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_ &quot;\&quot;* #,##0_ ;_ &quot;\&quot;* &quot;\&quot;&quot;\&quot;&quot;\&quot;&quot;\&quot;&quot;\&quot;&quot;\&quot;&quot;\&quot;\-#,##0_ ;_ &quot;\&quot;* &quot;-&quot;_ ;_ @_ "/>
    <numFmt numFmtId="178" formatCode="_-* #,##0\ &quot;DM&quot;_-;\-* #,##0\ &quot;DM&quot;_-;_-* &quot;-&quot;\ &quot;DM&quot;_-;_-@_-"/>
    <numFmt numFmtId="179" formatCode="0.000_)"/>
    <numFmt numFmtId="180" formatCode="_(* #,##0_);_(* &quot;\&quot;&quot;\&quot;&quot;\&quot;&quot;\&quot;&quot;\&quot;&quot;\&quot;&quot;\&quot;\(#,##0&quot;\&quot;&quot;\&quot;&quot;\&quot;&quot;\&quot;&quot;\&quot;&quot;\&quot;&quot;\&quot;\);_(* &quot;-&quot;_);_(@_)"/>
    <numFmt numFmtId="181" formatCode="&quot;DM&quot;#,##0.00;[Red]\-&quot;DM&quot;#,##0.00"/>
    <numFmt numFmtId="182" formatCode="#,##0.0_);\(#,##0.0\)"/>
    <numFmt numFmtId="183" formatCode="0%;[Red]\(0%\)"/>
    <numFmt numFmtId="184" formatCode="_(&quot;$&quot;* #,##0.00_);_(&quot;$&quot;* \(#,##0.00\);_(&quot;$&quot;* &quot;-&quot;??_);_(@_)"/>
    <numFmt numFmtId="185" formatCode="0.00_)"/>
    <numFmt numFmtId="186" formatCode="&quot;$&quot;#,##0_);\(&quot;$&quot;#,##0\)"/>
    <numFmt numFmtId="187" formatCode="_(* #,##0.00_);_(* \(#,##0.00\);_(* &quot;-&quot;??_);_(@_)"/>
    <numFmt numFmtId="188" formatCode="_(* #,##0.0000_);_(* \(#,##0.0000\);_(* &quot;-&quot;??_);_(@_)"/>
    <numFmt numFmtId="189" formatCode="&quot;       &quot;@"/>
    <numFmt numFmtId="190" formatCode="0.0%;[Red]\(0.0%\)"/>
    <numFmt numFmtId="191" formatCode="0.0%;\(0.0%\)"/>
    <numFmt numFmtId="192" formatCode="_(* #,##0_);_(* \(#,##0\);_(* &quot;-&quot;_);_(@_)"/>
    <numFmt numFmtId="193" formatCode="_(* #,##0.00000_);_(* \(#,##0.00000\);_(* &quot;-&quot;??_);_(@_)"/>
    <numFmt numFmtId="194" formatCode="#,##0.00\ &quot;F&quot;;\-#,##0.00\ &quot;F&quot;"/>
    <numFmt numFmtId="195" formatCode="dd/mmm/yy_)"/>
    <numFmt numFmtId="196" formatCode="0_)"/>
    <numFmt numFmtId="197" formatCode="mmmmddyy"/>
    <numFmt numFmtId="198" formatCode="_-* #,##0\ _D_M_-;\-* #,##0\ _D_M_-;_-* &quot;-&quot;\ _D_M_-;_-@_-"/>
    <numFmt numFmtId="199" formatCode="yyyyddmmmm"/>
    <numFmt numFmtId="200" formatCode="&quot;$&quot;#,##0.00_);[Red]&quot;\&quot;&quot;\&quot;&quot;\&quot;&quot;\&quot;&quot;\&quot;&quot;\&quot;&quot;\&quot;\(&quot;$&quot;#,##0.00&quot;\&quot;&quot;\&quot;&quot;\&quot;&quot;\&quot;&quot;\&quot;&quot;\&quot;&quot;\&quot;\)"/>
    <numFmt numFmtId="201" formatCode="&quot;$&quot;#,##0.00_);&quot;\&quot;&quot;\&quot;&quot;\&quot;&quot;\&quot;&quot;\&quot;&quot;\&quot;&quot;\&quot;\(&quot;$&quot;#,##0.00&quot;\&quot;&quot;\&quot;&quot;\&quot;&quot;\&quot;&quot;\&quot;&quot;\&quot;&quot;\&quot;\)"/>
    <numFmt numFmtId="202" formatCode="_(&quot;$&quot;* #,##0_);_(&quot;$&quot;* &quot;\&quot;&quot;\&quot;&quot;\&quot;&quot;\&quot;&quot;\&quot;&quot;\&quot;&quot;\&quot;\(#,##0&quot;\&quot;&quot;\&quot;&quot;\&quot;&quot;\&quot;&quot;\&quot;&quot;\&quot;&quot;\&quot;\);_(&quot;$&quot;* &quot;-&quot;_);_(@_)"/>
    <numFmt numFmtId="203" formatCode="_-&quot;$&quot;* #,##0.00_-;\-&quot;$&quot;* #,##0.00_-;_-&quot;$&quot;* &quot;-&quot;??_-;_-@_-"/>
    <numFmt numFmtId="204" formatCode="_(* #,##0_);_(* \(#,##0\);_(* &quot;-&quot;_)"/>
    <numFmt numFmtId="205" formatCode="_-* #,##0_-;\-* #,##0_-;_-* &quot;-&quot;_-;_-@_-"/>
    <numFmt numFmtId="206" formatCode="0%;\(0%\)"/>
    <numFmt numFmtId="207" formatCode="&quot;$&quot;#,##0.00"/>
    <numFmt numFmtId="208" formatCode="&quot;   &quot;@"/>
    <numFmt numFmtId="209" formatCode="_(&quot;$&quot;* #,##0_);_(&quot;$&quot;* \(#,##0\);_(&quot;$&quot;* &quot;-&quot;_);_(@_)"/>
    <numFmt numFmtId="210" formatCode="_-&quot;$&quot;* #,##0_-;\-&quot;$&quot;* #,##0_-;_-&quot;$&quot;* &quot;-&quot;_-;_-@_-"/>
    <numFmt numFmtId="211" formatCode="_-* #,##0.00_-;\-* #,##0.00_-;_-* &quot;-&quot;??_-;_-@_-"/>
    <numFmt numFmtId="212" formatCode="0_);[Red]\(0\)"/>
    <numFmt numFmtId="213" formatCode="0.0_ "/>
    <numFmt numFmtId="214" formatCode="0_ "/>
    <numFmt numFmtId="215" formatCode="0.00_ "/>
  </numFmts>
  <fonts count="156">
    <font>
      <sz val="11"/>
      <color theme="1"/>
      <name val="DengXian"/>
      <charset val="134"/>
      <scheme val="minor"/>
    </font>
    <font>
      <sz val="11"/>
      <color theme="1"/>
      <name val="DengXian"/>
      <charset val="128"/>
      <scheme val="minor"/>
    </font>
    <font>
      <sz val="11"/>
      <name val="DengXian"/>
      <charset val="128"/>
      <scheme val="minor"/>
    </font>
    <font>
      <sz val="12"/>
      <name val="ＭＳ 明朝"/>
      <charset val="134"/>
    </font>
    <font>
      <sz val="11"/>
      <name val="Arial"/>
      <charset val="134"/>
    </font>
    <font>
      <sz val="11"/>
      <name val="宋体"/>
      <charset val="134"/>
    </font>
    <font>
      <sz val="12"/>
      <name val="Noto Sans JP"/>
      <charset val="134"/>
    </font>
    <font>
      <sz val="12"/>
      <name val="游ゴシック"/>
      <charset val="128"/>
    </font>
    <font>
      <sz val="12"/>
      <name val="ＭＳ 明朝"/>
      <charset val="128"/>
    </font>
    <font>
      <b/>
      <sz val="11"/>
      <name val="Arial"/>
      <charset val="134"/>
    </font>
    <font>
      <sz val="11"/>
      <color theme="1"/>
      <name val="Arial"/>
      <charset val="134"/>
    </font>
    <font>
      <sz val="11"/>
      <color rgb="FF000000"/>
      <name val="ＭＳ 明朝"/>
      <charset val="134"/>
    </font>
    <font>
      <b/>
      <sz val="11"/>
      <color theme="1"/>
      <name val="Arial"/>
      <charset val="134"/>
    </font>
    <font>
      <b/>
      <sz val="11"/>
      <color theme="1"/>
      <name val="ＭＳ 明朝"/>
      <charset val="134"/>
    </font>
    <font>
      <sz val="11"/>
      <color theme="1"/>
      <name val="ＭＳ 明朝"/>
      <charset val="134"/>
    </font>
    <font>
      <sz val="12"/>
      <name val="DengXian"/>
      <charset val="128"/>
      <scheme val="minor"/>
    </font>
    <font>
      <sz val="12"/>
      <color rgb="FFFF0000"/>
      <name val="ＭＳ 明朝"/>
      <charset val="134"/>
    </font>
    <font>
      <sz val="11"/>
      <color rgb="FFFF0000"/>
      <name val="DengXian"/>
      <charset val="134"/>
      <scheme val="minor"/>
    </font>
    <font>
      <sz val="12"/>
      <name val="宋体"/>
      <charset val="134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sz val="10"/>
      <name val="Geneva"/>
      <charset val="134"/>
    </font>
    <font>
      <sz val="10"/>
      <name val="Arial"/>
      <charset val="134"/>
    </font>
    <font>
      <b/>
      <sz val="18"/>
      <color indexed="56"/>
      <name val="宋体"/>
      <charset val="134"/>
    </font>
    <font>
      <sz val="11"/>
      <color indexed="9"/>
      <name val="Calibri"/>
      <charset val="134"/>
    </font>
    <font>
      <sz val="12"/>
      <color theme="1"/>
      <name val="DengXian"/>
      <charset val="134"/>
      <scheme val="minor"/>
    </font>
    <font>
      <sz val="8"/>
      <name val="Times New Roman"/>
      <charset val="134"/>
    </font>
    <font>
      <sz val="11"/>
      <color indexed="8"/>
      <name val="新細明體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sz val="10"/>
      <color indexed="8"/>
      <name val="Arial"/>
      <charset val="134"/>
    </font>
    <font>
      <sz val="10"/>
      <color indexed="8"/>
      <name val="MS Sans Serif"/>
      <charset val="134"/>
    </font>
    <font>
      <sz val="11"/>
      <name val=""/>
      <charset val="134"/>
    </font>
    <font>
      <sz val="11"/>
      <color indexed="8"/>
      <name val="Calibri"/>
      <charset val="134"/>
    </font>
    <font>
      <sz val="11"/>
      <color indexed="54"/>
      <name val="新細明體"/>
      <charset val="134"/>
    </font>
    <font>
      <sz val="10"/>
      <name val="Helv"/>
      <charset val="134"/>
    </font>
    <font>
      <sz val="11"/>
      <color indexed="17"/>
      <name val="宋体"/>
      <charset val="134"/>
    </font>
    <font>
      <sz val="11"/>
      <color theme="1"/>
      <name val="DengXian"/>
      <charset val="134"/>
    </font>
    <font>
      <sz val="12"/>
      <name val="Arial Narrow"/>
      <charset val="134"/>
    </font>
    <font>
      <sz val="11"/>
      <color indexed="20"/>
      <name val="宋体"/>
      <charset val="134"/>
    </font>
    <font>
      <sz val="11"/>
      <name val="ＭＳ Ｐゴシック"/>
      <charset val="134"/>
    </font>
    <font>
      <sz val="10"/>
      <name val="Verdana"/>
      <charset val="134"/>
    </font>
    <font>
      <b/>
      <sz val="11"/>
      <color indexed="52"/>
      <name val="宋体"/>
      <charset val="134"/>
    </font>
    <font>
      <b/>
      <sz val="14"/>
      <name val="Frutiger"/>
      <charset val="134"/>
    </font>
    <font>
      <sz val="11"/>
      <color indexed="52"/>
      <name val="宋体"/>
      <charset val="134"/>
    </font>
    <font>
      <b/>
      <sz val="11"/>
      <color indexed="63"/>
      <name val="新細明體"/>
      <charset val="134"/>
    </font>
    <font>
      <sz val="11"/>
      <color indexed="10"/>
      <name val="新細明體"/>
      <charset val="134"/>
    </font>
    <font>
      <sz val="10"/>
      <name val="Times New Roman"/>
      <charset val="134"/>
    </font>
    <font>
      <sz val="11"/>
      <name val="Tms Rmn"/>
      <charset val="134"/>
    </font>
    <font>
      <sz val="11"/>
      <color indexed="9"/>
      <name val="新細明體"/>
      <charset val="134"/>
    </font>
    <font>
      <sz val="11"/>
      <color indexed="60"/>
      <name val="Calibri"/>
      <charset val="134"/>
    </font>
    <font>
      <b/>
      <sz val="11"/>
      <color indexed="56"/>
      <name val="宋体"/>
      <charset val="134"/>
    </font>
    <font>
      <sz val="11"/>
      <color indexed="60"/>
      <name val="新細明體"/>
      <charset val="134"/>
    </font>
    <font>
      <b/>
      <sz val="11"/>
      <color indexed="9"/>
      <name val="宋体"/>
      <charset val="134"/>
    </font>
    <font>
      <sz val="10"/>
      <name val="Minion-Regular"/>
      <charset val="134"/>
    </font>
    <font>
      <b/>
      <sz val="8"/>
      <name val="MS Sans Serif"/>
      <charset val="134"/>
    </font>
    <font>
      <b/>
      <sz val="11"/>
      <color indexed="49"/>
      <name val="新細明體"/>
      <charset val="134"/>
    </font>
    <font>
      <b/>
      <sz val="10"/>
      <name val="Frutiger"/>
      <charset val="134"/>
    </font>
    <font>
      <b/>
      <sz val="12"/>
      <name val="Arial"/>
      <charset val="134"/>
    </font>
    <font>
      <sz val="11"/>
      <color theme="1"/>
      <name val="微軟正黑體"/>
      <charset val="136"/>
    </font>
    <font>
      <b/>
      <sz val="11"/>
      <color indexed="63"/>
      <name val="宋体"/>
      <charset val="134"/>
    </font>
    <font>
      <b/>
      <sz val="11"/>
      <color indexed="56"/>
      <name val="新細明體"/>
      <charset val="134"/>
    </font>
    <font>
      <sz val="8"/>
      <name val="Arial"/>
      <charset val="134"/>
    </font>
    <font>
      <b/>
      <sz val="10"/>
      <name val="新細明體"/>
      <charset val="134"/>
    </font>
    <font>
      <sz val="7"/>
      <name val="Small Fonts"/>
      <charset val="134"/>
    </font>
    <font>
      <b/>
      <i/>
      <sz val="16"/>
      <name val="Helv"/>
      <charset val="134"/>
    </font>
    <font>
      <sz val="12"/>
      <color indexed="20"/>
      <name val="宋体"/>
      <charset val="134"/>
    </font>
    <font>
      <i/>
      <sz val="11"/>
      <color indexed="23"/>
      <name val="新細明體"/>
      <charset val="134"/>
    </font>
    <font>
      <u/>
      <sz val="12"/>
      <color indexed="12"/>
      <name val="宋体"/>
      <charset val="134"/>
    </font>
    <font>
      <sz val="10"/>
      <name val="Tms Rmn"/>
      <charset val="134"/>
    </font>
    <font>
      <b/>
      <sz val="13"/>
      <color indexed="56"/>
      <name val="宋体"/>
      <charset val="134"/>
    </font>
    <font>
      <b/>
      <sz val="13"/>
      <color indexed="49"/>
      <name val="新細明體"/>
      <charset val="134"/>
    </font>
    <font>
      <b/>
      <sz val="13"/>
      <color indexed="49"/>
      <name val="Calibri"/>
      <charset val="134"/>
    </font>
    <font>
      <b/>
      <sz val="13"/>
      <color indexed="56"/>
      <name val="Calibri"/>
      <charset val="134"/>
    </font>
    <font>
      <b/>
      <sz val="13"/>
      <color indexed="56"/>
      <name val="新細明體"/>
      <charset val="134"/>
    </font>
    <font>
      <sz val="11"/>
      <color theme="1"/>
      <name val="Tahoma"/>
      <charset val="134"/>
    </font>
    <font>
      <b/>
      <sz val="18"/>
      <color indexed="56"/>
      <name val="新細明體"/>
      <charset val="134"/>
    </font>
    <font>
      <sz val="10"/>
      <name val="MS Serif"/>
      <charset val="134"/>
    </font>
    <font>
      <sz val="11"/>
      <color indexed="10"/>
      <name val="宋体"/>
      <charset val="134"/>
    </font>
    <font>
      <sz val="11"/>
      <color indexed="10"/>
      <name val="Calibri"/>
      <charset val="134"/>
    </font>
    <font>
      <b/>
      <sz val="18"/>
      <color indexed="49"/>
      <name val="新細明體"/>
      <charset val="134"/>
    </font>
    <font>
      <b/>
      <sz val="18"/>
      <color indexed="49"/>
      <name val="Cambria"/>
      <charset val="134"/>
    </font>
    <font>
      <b/>
      <sz val="18"/>
      <color indexed="56"/>
      <name val="Cambria"/>
      <charset val="134"/>
    </font>
    <font>
      <sz val="12"/>
      <color indexed="17"/>
      <name val="宋体"/>
      <charset val="134"/>
    </font>
    <font>
      <sz val="8"/>
      <name val="Helv"/>
      <charset val="134"/>
    </font>
    <font>
      <sz val="8"/>
      <name val="MS Sans Serif"/>
      <charset val="134"/>
    </font>
    <font>
      <u/>
      <sz val="10"/>
      <color indexed="12"/>
      <name val="Minion-Regular"/>
      <charset val="134"/>
    </font>
    <font>
      <sz val="11"/>
      <color indexed="17"/>
      <name val="新細明體"/>
      <charset val="134"/>
    </font>
    <font>
      <sz val="11"/>
      <color indexed="20"/>
      <name val="新細明體"/>
      <charset val="134"/>
    </font>
    <font>
      <sz val="11"/>
      <color indexed="20"/>
      <name val="Calibri"/>
      <charset val="134"/>
    </font>
    <font>
      <b/>
      <sz val="15"/>
      <color indexed="56"/>
      <name val="宋体"/>
      <charset val="134"/>
    </font>
    <font>
      <b/>
      <sz val="11"/>
      <color indexed="52"/>
      <name val="新細明體"/>
      <charset val="134"/>
    </font>
    <font>
      <b/>
      <sz val="11"/>
      <color indexed="52"/>
      <name val="Calibri"/>
      <charset val="134"/>
    </font>
    <font>
      <sz val="10"/>
      <name val="Palatino"/>
      <charset val="134"/>
    </font>
    <font>
      <b/>
      <sz val="11"/>
      <color indexed="9"/>
      <name val="新細明體"/>
      <charset val="134"/>
    </font>
    <font>
      <sz val="11"/>
      <color indexed="20"/>
      <name val="华文细黑"/>
      <charset val="134"/>
    </font>
    <font>
      <b/>
      <sz val="11"/>
      <color indexed="9"/>
      <name val="Calibri"/>
      <charset val="134"/>
    </font>
    <font>
      <u/>
      <sz val="12"/>
      <color indexed="20"/>
      <name val="宋体"/>
      <charset val="134"/>
    </font>
    <font>
      <sz val="10"/>
      <name val="Courier"/>
      <charset val="134"/>
    </font>
    <font>
      <sz val="10"/>
      <color indexed="16"/>
      <name val="MS Serif"/>
      <charset val="134"/>
    </font>
    <font>
      <i/>
      <sz val="11"/>
      <color indexed="23"/>
      <name val="宋体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49"/>
      <name val="新細明體"/>
      <charset val="134"/>
    </font>
    <font>
      <u/>
      <sz val="11"/>
      <color theme="10"/>
      <name val="DengXian"/>
      <charset val="134"/>
    </font>
    <font>
      <b/>
      <sz val="15"/>
      <color indexed="49"/>
      <name val="Calibri"/>
      <charset val="134"/>
    </font>
    <font>
      <b/>
      <sz val="15"/>
      <color indexed="56"/>
      <name val="Calibri"/>
      <charset val="134"/>
    </font>
    <font>
      <b/>
      <sz val="15"/>
      <color indexed="56"/>
      <name val="新細明體"/>
      <charset val="134"/>
    </font>
    <font>
      <sz val="11"/>
      <color indexed="60"/>
      <name val="宋体"/>
      <charset val="134"/>
    </font>
    <font>
      <b/>
      <sz val="11"/>
      <color indexed="49"/>
      <name val="Calibri"/>
      <charset val="134"/>
    </font>
    <font>
      <b/>
      <sz val="11"/>
      <color indexed="56"/>
      <name val="Calibri"/>
      <charset val="134"/>
    </font>
    <font>
      <sz val="12"/>
      <name val="新細明體"/>
      <charset val="134"/>
    </font>
    <font>
      <u/>
      <sz val="10"/>
      <color indexed="12"/>
      <name val="Arial"/>
      <charset val="134"/>
    </font>
    <font>
      <u/>
      <sz val="8"/>
      <color indexed="12"/>
      <name val="Times New Roman"/>
      <charset val="134"/>
    </font>
    <font>
      <sz val="11"/>
      <color indexed="62"/>
      <name val="宋体"/>
      <charset val="134"/>
    </font>
    <font>
      <sz val="11"/>
      <color indexed="62"/>
      <name val="新細明體"/>
      <charset val="134"/>
    </font>
    <font>
      <sz val="11"/>
      <color indexed="54"/>
      <name val="Calibri"/>
      <charset val="134"/>
    </font>
    <font>
      <sz val="11"/>
      <color indexed="62"/>
      <name val="Calibri"/>
      <charset val="134"/>
    </font>
    <font>
      <sz val="11"/>
      <color indexed="52"/>
      <name val="新細明體"/>
      <charset val="134"/>
    </font>
    <font>
      <sz val="11"/>
      <color indexed="52"/>
      <name val="Calibri"/>
      <charset val="134"/>
    </font>
    <font>
      <b/>
      <sz val="10"/>
      <name val="MS Sans Serif"/>
      <charset val="134"/>
    </font>
    <font>
      <sz val="10"/>
      <color indexed="10"/>
      <name val="Minion-Regular"/>
      <charset val="134"/>
    </font>
    <font>
      <b/>
      <sz val="11"/>
      <color indexed="8"/>
      <name val="宋体"/>
      <charset val="134"/>
    </font>
    <font>
      <sz val="12"/>
      <color theme="1"/>
      <name val="DengXian"/>
      <charset val="134"/>
    </font>
    <font>
      <sz val="11"/>
      <color indexed="17"/>
      <name val="华文细黑"/>
      <charset val="134"/>
    </font>
    <font>
      <b/>
      <sz val="11"/>
      <color indexed="63"/>
      <name val="Calibri"/>
      <charset val="134"/>
    </font>
    <font>
      <b/>
      <sz val="8"/>
      <color indexed="8"/>
      <name val="Helv"/>
      <charset val="134"/>
    </font>
    <font>
      <b/>
      <sz val="11"/>
      <color indexed="8"/>
      <name val="新細明體"/>
      <charset val="134"/>
    </font>
    <font>
      <b/>
      <sz val="11"/>
      <color indexed="8"/>
      <name val="Calibri"/>
      <charset val="134"/>
    </font>
    <font>
      <sz val="11"/>
      <color indexed="8"/>
      <name val="Arial"/>
      <charset val="134"/>
    </font>
    <font>
      <sz val="10"/>
      <name val="標準明朝"/>
      <charset val="134"/>
    </font>
    <font>
      <sz val="12"/>
      <name val="Times New Roman"/>
      <charset val="134"/>
    </font>
    <font>
      <sz val="11"/>
      <name val="돋움"/>
      <charset val="134"/>
    </font>
    <font>
      <sz val="11"/>
      <color theme="1"/>
      <name val="Microsoft YaHei"/>
      <charset val="134"/>
    </font>
    <font>
      <sz val="11"/>
      <color theme="1"/>
      <name val="SimSun"/>
      <charset val="134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6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2"/>
        <bgColor indexed="64"/>
      </patternFill>
    </fill>
    <fill>
      <patternFill patternType="darkVertical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2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6" applyNumberFormat="0" applyAlignment="0" applyProtection="0">
      <alignment vertical="center"/>
    </xf>
    <xf numFmtId="0" fontId="28" fillId="9" borderId="7" applyNumberFormat="0" applyAlignment="0" applyProtection="0">
      <alignment vertical="center"/>
    </xf>
    <xf numFmtId="0" fontId="29" fillId="9" borderId="6" applyNumberFormat="0" applyAlignment="0" applyProtection="0">
      <alignment vertical="center"/>
    </xf>
    <xf numFmtId="0" fontId="30" fillId="10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176" fontId="38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18" fillId="0" borderId="0"/>
    <xf numFmtId="0" fontId="38" fillId="0" borderId="0">
      <alignment vertical="top"/>
    </xf>
    <xf numFmtId="0" fontId="38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38" fillId="39" borderId="0" applyNumberFormat="0" applyBorder="0" applyAlignment="0" applyProtection="0">
      <alignment vertical="center"/>
    </xf>
    <xf numFmtId="0" fontId="43" fillId="0" borderId="0"/>
    <xf numFmtId="0" fontId="44" fillId="0" borderId="0">
      <alignment horizontal="center" vertical="center" wrapText="1"/>
      <protection locked="0"/>
    </xf>
    <xf numFmtId="0" fontId="39" fillId="0" borderId="0"/>
    <xf numFmtId="0" fontId="45" fillId="40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0" fillId="0" borderId="0" applyBorder="0">
      <alignment vertical="center"/>
    </xf>
    <xf numFmtId="0" fontId="48" fillId="0" borderId="0">
      <alignment vertical="top"/>
    </xf>
    <xf numFmtId="0" fontId="38" fillId="42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45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2" fillId="44" borderId="11" applyNumberFormat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40" fillId="0" borderId="0"/>
    <xf numFmtId="0" fontId="38" fillId="44" borderId="0" applyNumberFormat="0" applyBorder="0" applyAlignment="0" applyProtection="0">
      <alignment vertical="center"/>
    </xf>
    <xf numFmtId="0" fontId="18" fillId="0" borderId="0" applyBorder="0"/>
    <xf numFmtId="0" fontId="53" fillId="0" borderId="0">
      <alignment vertical="center"/>
    </xf>
    <xf numFmtId="0" fontId="38" fillId="46" borderId="0" applyNumberFormat="0" applyBorder="0" applyAlignment="0" applyProtection="0">
      <alignment vertical="center"/>
    </xf>
    <xf numFmtId="0" fontId="49" fillId="0" borderId="0"/>
    <xf numFmtId="0" fontId="51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18" fillId="0" borderId="0" applyFont="0" applyFill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5" fillId="0" borderId="0">
      <alignment vertical="center"/>
    </xf>
    <xf numFmtId="0" fontId="46" fillId="3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56" fillId="0" borderId="0">
      <alignment vertical="center"/>
    </xf>
    <xf numFmtId="176" fontId="40" fillId="0" borderId="0">
      <alignment vertical="center"/>
    </xf>
    <xf numFmtId="0" fontId="57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50" fillId="0" borderId="0">
      <alignment vertical="center"/>
    </xf>
    <xf numFmtId="0" fontId="45" fillId="45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177" fontId="59" fillId="0" borderId="0" applyFont="0" applyFill="0" applyBorder="0" applyAlignment="0" applyProtection="0">
      <alignment vertical="center"/>
    </xf>
    <xf numFmtId="178" fontId="59" fillId="0" borderId="0" applyFont="0" applyFill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60" fillId="47" borderId="11" applyNumberFormat="0" applyAlignment="0" applyProtection="0">
      <alignment vertical="center"/>
    </xf>
    <xf numFmtId="49" fontId="61" fillId="0" borderId="0">
      <alignment horizontal="left" vertical="center"/>
    </xf>
    <xf numFmtId="0" fontId="51" fillId="38" borderId="0" applyNumberFormat="0" applyBorder="0" applyAlignment="0" applyProtection="0">
      <alignment vertical="center"/>
    </xf>
    <xf numFmtId="0" fontId="38" fillId="0" borderId="0"/>
    <xf numFmtId="0" fontId="62" fillId="0" borderId="12" applyNumberFormat="0" applyFill="0" applyAlignment="0" applyProtection="0">
      <alignment vertical="center"/>
    </xf>
    <xf numFmtId="0" fontId="63" fillId="43" borderId="13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46" fillId="51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5" fillId="0" borderId="0">
      <alignment vertical="center"/>
    </xf>
    <xf numFmtId="0" fontId="65" fillId="0" borderId="0">
      <alignment vertical="center"/>
    </xf>
    <xf numFmtId="179" fontId="66" fillId="0" borderId="0">
      <alignment vertical="center"/>
    </xf>
    <xf numFmtId="180" fontId="59" fillId="0" borderId="0" applyFont="0" applyFill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14" fontId="48" fillId="0" borderId="0" applyFill="0" applyBorder="0" applyAlignment="0">
      <alignment vertical="center"/>
    </xf>
    <xf numFmtId="0" fontId="51" fillId="44" borderId="0" applyNumberFormat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9" fillId="0" borderId="14" applyNumberFormat="0" applyFill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1" fillId="55" borderId="15" applyNumberFormat="0" applyAlignment="0" applyProtection="0">
      <alignment vertical="center"/>
    </xf>
    <xf numFmtId="0" fontId="72" fillId="0" borderId="1">
      <alignment horizontal="center" vertical="center"/>
    </xf>
    <xf numFmtId="0" fontId="18" fillId="0" borderId="0" applyProtection="0">
      <alignment vertical="center"/>
    </xf>
    <xf numFmtId="0" fontId="73" fillId="0" borderId="0">
      <alignment horizontal="center" vertical="center"/>
    </xf>
    <xf numFmtId="0" fontId="46" fillId="56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1" fontId="59" fillId="0" borderId="0" applyFont="0" applyFill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59" fillId="58" borderId="16" applyNumberFormat="0" applyFont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49" fontId="75" fillId="49" borderId="1">
      <alignment horizontal="center" vertical="center"/>
    </xf>
    <xf numFmtId="0" fontId="76" fillId="0" borderId="17" applyNumberFormat="0" applyAlignment="0" applyProtection="0">
      <alignment horizontal="left" vertical="center"/>
    </xf>
    <xf numFmtId="0" fontId="45" fillId="47" borderId="0" applyNumberFormat="0" applyBorder="0" applyAlignment="0" applyProtection="0">
      <alignment vertical="center"/>
    </xf>
    <xf numFmtId="182" fontId="59" fillId="0" borderId="0" applyFont="0" applyFill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77" fillId="0" borderId="0">
      <alignment vertical="center"/>
    </xf>
    <xf numFmtId="0" fontId="78" fillId="47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9" fillId="0" borderId="14" applyNumberFormat="0" applyFill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1" fillId="0" borderId="0"/>
    <xf numFmtId="0" fontId="51" fillId="46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183" fontId="53" fillId="0" borderId="0" applyFill="0" applyBorder="0" applyAlignment="0">
      <alignment vertical="center"/>
    </xf>
    <xf numFmtId="0" fontId="51" fillId="58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46" fillId="59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184" fontId="53" fillId="0" borderId="0" applyFill="0" applyBorder="0" applyAlignment="0">
      <alignment vertical="center"/>
    </xf>
    <xf numFmtId="0" fontId="0" fillId="0" borderId="0"/>
    <xf numFmtId="37" fontId="82" fillId="0" borderId="0">
      <alignment vertical="center"/>
    </xf>
    <xf numFmtId="0" fontId="46" fillId="57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185" fontId="83" fillId="0" borderId="0">
      <alignment vertical="center"/>
    </xf>
    <xf numFmtId="0" fontId="51" fillId="49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186" fontId="87" fillId="0" borderId="0">
      <alignment vertical="center"/>
    </xf>
    <xf numFmtId="0" fontId="42" fillId="53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14" fontId="44" fillId="0" borderId="0">
      <alignment horizontal="center" vertical="center" wrapText="1"/>
      <protection locked="0"/>
    </xf>
    <xf numFmtId="182" fontId="53" fillId="0" borderId="0" applyFill="0" applyBorder="0" applyAlignment="0">
      <alignment vertical="center"/>
    </xf>
    <xf numFmtId="0" fontId="42" fillId="47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88" fillId="0" borderId="18" applyNumberFormat="0" applyFill="0" applyAlignment="0" applyProtection="0">
      <alignment vertical="center"/>
    </xf>
    <xf numFmtId="0" fontId="89" fillId="0" borderId="18" applyNumberFormat="0" applyFill="0" applyAlignment="0" applyProtection="0">
      <alignment vertical="center"/>
    </xf>
    <xf numFmtId="0" fontId="90" fillId="0" borderId="18" applyNumberFormat="0" applyFill="0" applyAlignment="0" applyProtection="0">
      <alignment vertical="center"/>
    </xf>
    <xf numFmtId="0" fontId="91" fillId="0" borderId="18" applyNumberFormat="0" applyFill="0" applyAlignment="0" applyProtection="0">
      <alignment vertical="center"/>
    </xf>
    <xf numFmtId="0" fontId="92" fillId="0" borderId="18" applyNumberFormat="0" applyFill="0" applyAlignment="0" applyProtection="0">
      <alignment vertical="center"/>
    </xf>
    <xf numFmtId="187" fontId="59" fillId="0" borderId="0" applyFont="0" applyFill="0" applyBorder="0" applyAlignment="0" applyProtection="0">
      <alignment vertical="center"/>
    </xf>
    <xf numFmtId="0" fontId="93" fillId="0" borderId="0"/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Alignment="0">
      <alignment horizontal="left"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176" fontId="56" fillId="0" borderId="0">
      <alignment vertical="center"/>
    </xf>
    <xf numFmtId="24" fontId="53" fillId="61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4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horizontal="left" vertical="center"/>
    </xf>
    <xf numFmtId="0" fontId="86" fillId="0" borderId="0" applyNumberFormat="0" applyFill="0" applyBorder="0" applyAlignment="0" applyProtection="0">
      <alignment vertical="top"/>
      <protection locked="0"/>
    </xf>
    <xf numFmtId="0" fontId="51" fillId="0" borderId="0" applyFill="0" applyProtection="0"/>
    <xf numFmtId="0" fontId="103" fillId="0" borderId="0" applyNumberFormat="0" applyFill="0" applyBorder="0" applyAlignment="0">
      <alignment horizontal="center" vertical="center"/>
    </xf>
    <xf numFmtId="0" fontId="104" fillId="0" borderId="0">
      <alignment horizontal="left" vertical="center"/>
      <protection locked="0"/>
    </xf>
    <xf numFmtId="0" fontId="105" fillId="48" borderId="0" applyNumberFormat="0" applyBorder="0" applyAlignment="0" applyProtection="0">
      <alignment vertical="center"/>
    </xf>
    <xf numFmtId="188" fontId="59" fillId="0" borderId="0" applyFont="0" applyFill="0" applyBorder="0" applyAlignment="0" applyProtection="0">
      <alignment vertical="center"/>
    </xf>
    <xf numFmtId="0" fontId="42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42" fillId="62" borderId="0" applyNumberFormat="0" applyBorder="0" applyAlignment="0" applyProtection="0">
      <alignment vertical="center"/>
    </xf>
    <xf numFmtId="0" fontId="46" fillId="60" borderId="0" applyNumberFormat="0" applyBorder="0" applyAlignment="0" applyProtection="0">
      <alignment vertical="center"/>
    </xf>
    <xf numFmtId="0" fontId="42" fillId="60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7" fillId="38" borderId="0" applyNumberFormat="0" applyBorder="0" applyAlignment="0" applyProtection="0">
      <alignment vertical="center"/>
    </xf>
    <xf numFmtId="189" fontId="40" fillId="0" borderId="0" applyFill="0" applyBorder="0" applyAlignment="0">
      <alignment vertical="center"/>
    </xf>
    <xf numFmtId="0" fontId="108" fillId="0" borderId="19" applyNumberFormat="0" applyFill="0" applyAlignment="0" applyProtection="0">
      <alignment vertical="center"/>
    </xf>
    <xf numFmtId="188" fontId="53" fillId="0" borderId="0" applyFill="0" applyBorder="0" applyAlignment="0">
      <alignment vertical="center"/>
    </xf>
    <xf numFmtId="190" fontId="53" fillId="0" borderId="0" applyFill="0" applyBorder="0" applyAlignment="0">
      <alignment vertical="center"/>
    </xf>
    <xf numFmtId="191" fontId="53" fillId="0" borderId="0" applyFill="0" applyBorder="0" applyAlignment="0">
      <alignment vertical="center"/>
    </xf>
    <xf numFmtId="0" fontId="109" fillId="43" borderId="11" applyNumberFormat="0" applyAlignment="0" applyProtection="0">
      <alignment vertical="center"/>
    </xf>
    <xf numFmtId="0" fontId="110" fillId="43" borderId="11" applyNumberFormat="0" applyAlignment="0" applyProtection="0">
      <alignment vertical="center"/>
    </xf>
    <xf numFmtId="0" fontId="110" fillId="47" borderId="11" applyNumberFormat="0" applyAlignment="0" applyProtection="0">
      <alignment vertical="center"/>
    </xf>
    <xf numFmtId="0" fontId="109" fillId="47" borderId="11" applyNumberFormat="0" applyAlignment="0" applyProtection="0">
      <alignment vertical="center"/>
    </xf>
    <xf numFmtId="176" fontId="111" fillId="0" borderId="0">
      <alignment vertical="center"/>
    </xf>
    <xf numFmtId="0" fontId="112" fillId="63" borderId="15" applyNumberFormat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4" fillId="63" borderId="15" applyNumberFormat="0" applyAlignment="0" applyProtection="0">
      <alignment vertical="center"/>
    </xf>
    <xf numFmtId="0" fontId="114" fillId="55" borderId="15" applyNumberFormat="0" applyAlignment="0" applyProtection="0">
      <alignment vertical="center"/>
    </xf>
    <xf numFmtId="0" fontId="112" fillId="55" borderId="15" applyNumberFormat="0" applyAlignment="0" applyProtection="0">
      <alignment vertical="center"/>
    </xf>
    <xf numFmtId="192" fontId="59" fillId="0" borderId="0" applyFont="0" applyFill="0" applyBorder="0" applyAlignment="0" applyProtection="0">
      <alignment vertical="center"/>
    </xf>
    <xf numFmtId="0" fontId="115" fillId="0" borderId="0">
      <alignment vertical="center"/>
    </xf>
    <xf numFmtId="193" fontId="59" fillId="0" borderId="0" applyFont="0" applyFill="0" applyBorder="0" applyAlignment="0" applyProtection="0">
      <alignment vertical="center"/>
    </xf>
    <xf numFmtId="184" fontId="59" fillId="0" borderId="0" applyFont="0" applyFill="0" applyBorder="0" applyAlignment="0" applyProtection="0">
      <alignment vertical="center"/>
    </xf>
    <xf numFmtId="194" fontId="40" fillId="0" borderId="0">
      <alignment vertical="center"/>
    </xf>
    <xf numFmtId="195" fontId="59" fillId="0" borderId="0" applyFont="0" applyFill="0" applyBorder="0" applyAlignment="0" applyProtection="0">
      <alignment vertical="center"/>
    </xf>
    <xf numFmtId="0" fontId="116" fillId="0" borderId="0" applyNumberFormat="0" applyAlignment="0">
      <alignment vertical="center"/>
    </xf>
    <xf numFmtId="196" fontId="59" fillId="0" borderId="0" applyFont="0" applyFill="0" applyBorder="0" applyAlignment="0" applyProtection="0">
      <alignment vertical="center"/>
    </xf>
    <xf numFmtId="197" fontId="40" fillId="0" borderId="0">
      <alignment vertical="center"/>
    </xf>
    <xf numFmtId="198" fontId="59" fillId="0" borderId="0" applyFont="0" applyFill="0" applyBorder="0" applyAlignment="0" applyProtection="0">
      <alignment vertical="center"/>
    </xf>
    <xf numFmtId="4" fontId="59" fillId="0" borderId="0" applyFont="0" applyFill="0" applyBorder="0" applyAlignment="0" applyProtection="0">
      <alignment vertical="center"/>
    </xf>
    <xf numFmtId="199" fontId="40" fillId="0" borderId="0">
      <alignment vertical="center"/>
    </xf>
    <xf numFmtId="0" fontId="117" fillId="0" borderId="0" applyNumberFormat="0" applyAlignment="0">
      <alignment horizontal="left" vertical="center"/>
    </xf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48" borderId="0" applyNumberFormat="0" applyBorder="0" applyAlignment="0" applyProtection="0">
      <alignment vertical="center"/>
    </xf>
    <xf numFmtId="0" fontId="76" fillId="0" borderId="20">
      <alignment horizontal="left" vertical="center"/>
    </xf>
    <xf numFmtId="0" fontId="121" fillId="0" borderId="21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top"/>
      <protection locked="0"/>
    </xf>
    <xf numFmtId="0" fontId="123" fillId="0" borderId="21" applyNumberFormat="0" applyFill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74" fillId="0" borderId="22" applyNumberFormat="0" applyFill="0" applyAlignment="0" applyProtection="0">
      <alignment vertical="center"/>
    </xf>
    <xf numFmtId="0" fontId="126" fillId="54" borderId="0" applyNumberFormat="0" applyBorder="0" applyAlignment="0" applyProtection="0">
      <alignment vertical="center"/>
    </xf>
    <xf numFmtId="0" fontId="127" fillId="0" borderId="22" applyNumberFormat="0" applyFill="0" applyAlignment="0" applyProtection="0">
      <alignment vertical="center"/>
    </xf>
    <xf numFmtId="0" fontId="128" fillId="0" borderId="14" applyNumberFormat="0" applyFill="0" applyAlignment="0" applyProtection="0">
      <alignment vertical="center"/>
    </xf>
    <xf numFmtId="0" fontId="129" fillId="0" borderId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3" fillId="0" borderId="23">
      <alignment horizontal="center" vertical="center"/>
    </xf>
    <xf numFmtId="0" fontId="13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80" fillId="58" borderId="1" applyNumberFormat="0" applyBorder="0" applyAlignment="0" applyProtection="0">
      <alignment vertical="center"/>
    </xf>
    <xf numFmtId="0" fontId="132" fillId="44" borderId="11" applyNumberFormat="0" applyAlignment="0" applyProtection="0">
      <alignment vertical="center"/>
    </xf>
    <xf numFmtId="0" fontId="133" fillId="44" borderId="11" applyNumberFormat="0" applyAlignment="0" applyProtection="0">
      <alignment vertical="center"/>
    </xf>
    <xf numFmtId="0" fontId="134" fillId="44" borderId="11" applyNumberFormat="0" applyAlignment="0" applyProtection="0">
      <alignment vertical="center"/>
    </xf>
    <xf numFmtId="0" fontId="135" fillId="44" borderId="11" applyNumberFormat="0" applyAlignment="0" applyProtection="0">
      <alignment vertical="center"/>
    </xf>
    <xf numFmtId="0" fontId="136" fillId="0" borderId="12" applyNumberFormat="0" applyFill="0" applyAlignment="0" applyProtection="0">
      <alignment vertical="center"/>
    </xf>
    <xf numFmtId="0" fontId="137" fillId="0" borderId="12" applyNumberFormat="0" applyFill="0" applyAlignment="0" applyProtection="0">
      <alignment vertical="center"/>
    </xf>
    <xf numFmtId="24" fontId="53" fillId="64" borderId="0">
      <alignment vertical="center"/>
    </xf>
    <xf numFmtId="200" fontId="59" fillId="0" borderId="0" applyFont="0" applyFill="0" applyBorder="0" applyAlignment="0" applyProtection="0">
      <alignment vertical="center"/>
    </xf>
    <xf numFmtId="201" fontId="59" fillId="0" borderId="0" applyFont="0" applyFill="0" applyBorder="0" applyAlignment="0" applyProtection="0">
      <alignment vertical="center"/>
    </xf>
    <xf numFmtId="202" fontId="59" fillId="0" borderId="0" applyFont="0" applyFill="0" applyBorder="0" applyAlignment="0" applyProtection="0">
      <alignment vertical="center"/>
    </xf>
    <xf numFmtId="40" fontId="102" fillId="0" borderId="0">
      <alignment vertical="center"/>
    </xf>
    <xf numFmtId="49" fontId="75" fillId="49" borderId="1">
      <alignment horizontal="center" vertical="center" wrapText="1"/>
    </xf>
    <xf numFmtId="0" fontId="138" fillId="0" borderId="23">
      <alignment horizontal="center" vertical="center"/>
    </xf>
    <xf numFmtId="49" fontId="139" fillId="0" borderId="0">
      <alignment horizontal="left" vertical="center"/>
    </xf>
    <xf numFmtId="0" fontId="59" fillId="0" borderId="0" applyNumberFormat="0" applyFont="0" applyFill="0" applyBorder="0" applyAlignment="0" applyProtection="0">
      <alignment horizontal="left" vertical="center"/>
    </xf>
    <xf numFmtId="203" fontId="59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111" fillId="0" borderId="0">
      <alignment vertical="center"/>
    </xf>
    <xf numFmtId="204" fontId="53" fillId="0" borderId="0" applyFill="0" applyBorder="0" applyAlignment="0">
      <alignment vertical="center"/>
    </xf>
    <xf numFmtId="0" fontId="140" fillId="0" borderId="24" applyNumberFormat="0" applyFill="0" applyAlignment="0" applyProtection="0">
      <alignment vertical="center"/>
    </xf>
    <xf numFmtId="205" fontId="59" fillId="0" borderId="0" applyFont="0" applyFill="0" applyBorder="0" applyAlignment="0" applyProtection="0">
      <alignment vertical="center"/>
    </xf>
    <xf numFmtId="0" fontId="48" fillId="0" borderId="0" applyFill="0" applyProtection="0"/>
    <xf numFmtId="0" fontId="141" fillId="0" borderId="0"/>
    <xf numFmtId="0" fontId="142" fillId="48" borderId="0" applyNumberFormat="0" applyBorder="0" applyAlignment="0" applyProtection="0">
      <alignment vertical="center"/>
    </xf>
    <xf numFmtId="1" fontId="72" fillId="0" borderId="1">
      <alignment horizontal="center" vertical="center"/>
    </xf>
    <xf numFmtId="0" fontId="143" fillId="43" borderId="13" applyNumberFormat="0" applyAlignment="0" applyProtection="0">
      <alignment vertical="center"/>
    </xf>
    <xf numFmtId="0" fontId="143" fillId="47" borderId="13" applyNumberFormat="0" applyAlignment="0" applyProtection="0">
      <alignment vertical="center"/>
    </xf>
    <xf numFmtId="0" fontId="63" fillId="47" borderId="13" applyNumberFormat="0" applyAlignment="0" applyProtection="0">
      <alignment vertical="center"/>
    </xf>
    <xf numFmtId="183" fontId="59" fillId="0" borderId="0" applyFont="0" applyFill="0" applyBorder="0" applyAlignment="0" applyProtection="0">
      <alignment vertical="center"/>
    </xf>
    <xf numFmtId="206" fontId="59" fillId="0" borderId="0" applyFont="0" applyFill="0" applyBorder="0" applyAlignment="0" applyProtection="0">
      <alignment vertical="center"/>
    </xf>
    <xf numFmtId="10" fontId="59" fillId="0" borderId="0" applyFont="0" applyFill="0" applyBorder="0" applyAlignment="0" applyProtection="0">
      <alignment vertical="center"/>
    </xf>
    <xf numFmtId="0" fontId="59" fillId="65" borderId="0" applyNumberFormat="0" applyFont="0" applyBorder="0" applyAlignment="0">
      <alignment horizontal="center" vertical="center"/>
    </xf>
    <xf numFmtId="0" fontId="59" fillId="66" borderId="20" applyNumberFormat="0" applyFont="0" applyAlignment="0">
      <alignment horizontal="center" vertical="center"/>
    </xf>
    <xf numFmtId="0" fontId="51" fillId="0" borderId="0"/>
    <xf numFmtId="49" fontId="72" fillId="0" borderId="0">
      <alignment horizontal="left" vertical="center"/>
    </xf>
    <xf numFmtId="207" fontId="40" fillId="0" borderId="1">
      <alignment horizontal="center" vertical="center"/>
    </xf>
    <xf numFmtId="40" fontId="144" fillId="0" borderId="0" applyBorder="0">
      <alignment horizontal="right" vertical="center"/>
    </xf>
    <xf numFmtId="2" fontId="82" fillId="0" borderId="1">
      <alignment vertical="top"/>
      <protection locked="0"/>
    </xf>
    <xf numFmtId="49" fontId="48" fillId="0" borderId="0" applyFill="0" applyBorder="0" applyAlignment="0">
      <alignment vertical="center"/>
    </xf>
    <xf numFmtId="208" fontId="53" fillId="0" borderId="0" applyFill="0" applyBorder="0" applyAlignment="0">
      <alignment vertical="center"/>
    </xf>
    <xf numFmtId="0" fontId="145" fillId="0" borderId="25" applyNumberFormat="0" applyFill="0" applyAlignment="0" applyProtection="0">
      <alignment vertical="center"/>
    </xf>
    <xf numFmtId="0" fontId="146" fillId="0" borderId="25" applyNumberFormat="0" applyFill="0" applyAlignment="0" applyProtection="0">
      <alignment vertical="center"/>
    </xf>
    <xf numFmtId="0" fontId="146" fillId="0" borderId="24" applyNumberFormat="0" applyFill="0" applyAlignment="0" applyProtection="0">
      <alignment vertical="center"/>
    </xf>
    <xf numFmtId="0" fontId="145" fillId="0" borderId="24" applyNumberFormat="0" applyFill="0" applyAlignment="0" applyProtection="0">
      <alignment vertical="center"/>
    </xf>
    <xf numFmtId="9" fontId="147" fillId="0" borderId="0" applyFont="0" applyFill="0" applyBorder="0" applyAlignment="0" applyProtection="0"/>
    <xf numFmtId="0" fontId="59" fillId="0" borderId="0">
      <alignment vertical="center"/>
    </xf>
    <xf numFmtId="0" fontId="148" fillId="0" borderId="0">
      <alignment vertical="center"/>
    </xf>
    <xf numFmtId="209" fontId="59" fillId="0" borderId="0" applyFont="0" applyFill="0" applyBorder="0" applyAlignment="0" applyProtection="0">
      <alignment vertical="center"/>
    </xf>
    <xf numFmtId="210" fontId="59" fillId="0" borderId="0" applyFont="0" applyFill="0" applyBorder="0" applyAlignment="0" applyProtection="0">
      <alignment vertical="center"/>
    </xf>
    <xf numFmtId="0" fontId="149" fillId="0" borderId="0">
      <alignment vertical="center"/>
    </xf>
    <xf numFmtId="211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15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212" fontId="3" fillId="0" borderId="1" xfId="0" applyNumberFormat="1" applyFont="1" applyFill="1" applyBorder="1" applyAlignment="1">
      <alignment horizontal="left" vertical="center"/>
    </xf>
    <xf numFmtId="213" fontId="3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214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left" vertical="center" wrapText="1" readingOrder="1"/>
      <protection locked="0"/>
    </xf>
    <xf numFmtId="14" fontId="4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214" fontId="12" fillId="0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214" fontId="13" fillId="0" borderId="0" xfId="0" applyNumberFormat="1" applyFont="1" applyFill="1" applyBorder="1" applyAlignment="1">
      <alignment horizontal="center" vertical="center"/>
    </xf>
    <xf numFmtId="214" fontId="14" fillId="0" borderId="0" xfId="0" applyNumberFormat="1" applyFont="1" applyFill="1" applyBorder="1" applyAlignment="1">
      <alignment horizontal="center" vertical="center"/>
    </xf>
    <xf numFmtId="215" fontId="12" fillId="0" borderId="0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/>
    </xf>
  </cellXfs>
  <cellStyles count="32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5 8" xfId="49"/>
    <cellStyle name="_DHL特价D1" xfId="50"/>
    <cellStyle name="Normal 4 5 6" xfId="51"/>
    <cellStyle name="20% - Accent2 2 6" xfId="52"/>
    <cellStyle name="Normal 96" xfId="53"/>
    <cellStyle name="Title 2 4" xfId="54"/>
    <cellStyle name="60% - Accent2 4" xfId="55"/>
    <cellStyle name="9 14 6" xfId="56"/>
    <cellStyle name="常规 2 2 2 2 2 2 2 2 2 2 2 2 3 5" xfId="57"/>
    <cellStyle name="㼿㼿㼿㼿㼿㼿㼿 7" xfId="58"/>
    <cellStyle name="常规 2 5 2 4 3" xfId="59"/>
    <cellStyle name="40% - Accent2 2 4" xfId="60"/>
    <cellStyle name="常规 2 13 4 2" xfId="61"/>
    <cellStyle name="args.style" xfId="62"/>
    <cellStyle name="_ET_STYLE_NoName_00_ 9" xfId="63"/>
    <cellStyle name="20% - 輔色4" xfId="64"/>
    <cellStyle name="40% - 輔色2" xfId="65"/>
    <cellStyle name="Accent4 2 4" xfId="66"/>
    <cellStyle name="超链接 13 8" xfId="67"/>
    <cellStyle name="_Sheet1_DHL.HK.SX(2009.06给世必达）" xfId="68"/>
    <cellStyle name="_12月2号6点起生效报价" xfId="69"/>
    <cellStyle name="40% - Accent5 2 5" xfId="70"/>
    <cellStyle name="_Book2" xfId="71"/>
    <cellStyle name="样式 1 5" xfId="72"/>
    <cellStyle name="40% - Accent5 7" xfId="73"/>
    <cellStyle name="20% - Accent4 4" xfId="74"/>
    <cellStyle name="Input 21" xfId="75"/>
    <cellStyle name="20% - Accent5 2 6" xfId="76"/>
    <cellStyle name="常规 137" xfId="77"/>
    <cellStyle name="20% - Accent6 2 2 7" xfId="78"/>
    <cellStyle name="常规 136 2 7" xfId="79"/>
    <cellStyle name="_ET_STYLE_NoName_00__大陆DHL促销价4-16" xfId="80"/>
    <cellStyle name="20% - Accent1 2 9" xfId="81"/>
    <cellStyle name="_ET_STYLE_NoName_00_ 2 2 2" xfId="82"/>
    <cellStyle name="40% - Accent1 4" xfId="83"/>
    <cellStyle name="好_邮政小包发票样板 5" xfId="84"/>
    <cellStyle name="Comma 2 2 4 2" xfId="85"/>
    <cellStyle name="40% - Accent6 2 3" xfId="86"/>
    <cellStyle name="常规 6 2 3 8" xfId="87"/>
    <cellStyle name="60% - Accent2 2 5" xfId="88"/>
    <cellStyle name="20% - Accent3 2 2 5" xfId="89"/>
    <cellStyle name="Normal 200" xfId="90"/>
    <cellStyle name="Normal 17_fedex2013 new（4月18日）" xfId="91"/>
    <cellStyle name="差_Sheet3 6" xfId="92"/>
    <cellStyle name="20% - 輔色2" xfId="93"/>
    <cellStyle name="20% - 輔色3" xfId="94"/>
    <cellStyle name="_DHL.HK.OU及DHL.HK.OU特价(20090215)华南" xfId="95"/>
    <cellStyle name="20% - 輔色5" xfId="96"/>
    <cellStyle name="20% - 輔色6" xfId="97"/>
    <cellStyle name="常规 2 2 2 9" xfId="98"/>
    <cellStyle name="Œ…‹æØ‚è_laroux" xfId="99"/>
    <cellStyle name="_香港DHL与大陆DHL的价格比较表" xfId="100"/>
    <cellStyle name="Percent_#6 Temps &amp; Contractors" xfId="101"/>
    <cellStyle name="W鋒rung [0]_Mappe2" xfId="102"/>
    <cellStyle name="20% - Accent1 6" xfId="103"/>
    <cellStyle name="40% - Accent3 2" xfId="104"/>
    <cellStyle name="Calculation 2 4" xfId="105"/>
    <cellStyle name="stlHdrTitle" xfId="106"/>
    <cellStyle name="20% - Accent2 5" xfId="107"/>
    <cellStyle name="Standard 2 2 8" xfId="108"/>
    <cellStyle name="Linked Cell 2" xfId="109"/>
    <cellStyle name="Output 3" xfId="110"/>
    <cellStyle name="超链接 4 3 5" xfId="111"/>
    <cellStyle name="60% - Accent6 2 2" xfId="112"/>
    <cellStyle name="Warning Text 6" xfId="113"/>
    <cellStyle name="常规 10 3 5" xfId="114"/>
    <cellStyle name="Normal_!!!GO" xfId="115"/>
    <cellStyle name="Comma  - Style2" xfId="116"/>
    <cellStyle name="Milliers_!!!GO" xfId="117"/>
    <cellStyle name="Accent2 6" xfId="118"/>
    <cellStyle name="60% - Accent1 2 3" xfId="119"/>
    <cellStyle name="Date Short" xfId="120"/>
    <cellStyle name="40% - Accent6 4" xfId="121"/>
    <cellStyle name="Percent 3 2" xfId="122"/>
    <cellStyle name="Neutral 4" xfId="123"/>
    <cellStyle name="Heading 3 2 6" xfId="124"/>
    <cellStyle name="Neutral 5" xfId="125"/>
    <cellStyle name="㼿㼿?" xfId="126"/>
    <cellStyle name="stlWgtIntl" xfId="127"/>
    <cellStyle name="常规 111_12.DHL-HKG" xfId="128"/>
    <cellStyle name="HEADINGSTOP" xfId="129"/>
    <cellStyle name="Accent3 2 7" xfId="130"/>
    <cellStyle name="20% - Accent4 5" xfId="131"/>
    <cellStyle name="Heading 4 3" xfId="132"/>
    <cellStyle name="W鋒rung_AUFFOR95" xfId="133"/>
    <cellStyle name="60% - 輔色3" xfId="134"/>
    <cellStyle name="Accent5 4" xfId="135"/>
    <cellStyle name="Note 2" xfId="136"/>
    <cellStyle name="20% - 輔色1" xfId="137"/>
    <cellStyle name="60% - Accent6 7" xfId="138"/>
    <cellStyle name="stlHeaderCol" xfId="139"/>
    <cellStyle name="Header1" xfId="140"/>
    <cellStyle name="40% - Accent1 3" xfId="141"/>
    <cellStyle name="Currency [00]" xfId="142"/>
    <cellStyle name="40% - Accent3 8" xfId="143"/>
    <cellStyle name="常规 21 6" xfId="144"/>
    <cellStyle name="Output 2 2" xfId="145"/>
    <cellStyle name="Heading 4 2 6" xfId="146"/>
    <cellStyle name="標題 3" xfId="147"/>
    <cellStyle name="20% - Accent3 3" xfId="148"/>
    <cellStyle name="Grey" xfId="149"/>
    <cellStyle name="0,0_x005f_x000a__x005f_x000a_NA_x005f_x000a__x005f_x000a_" xfId="150"/>
    <cellStyle name="20% - Accent1 5" xfId="151"/>
    <cellStyle name="40% - Accent3 4" xfId="152"/>
    <cellStyle name="60% - Accent2 3" xfId="153"/>
    <cellStyle name="Calc Percent (2)" xfId="154"/>
    <cellStyle name="20% - Accent3 4" xfId="155"/>
    <cellStyle name="20% - Accent3 5" xfId="156"/>
    <cellStyle name="40% - Accent5 4" xfId="157"/>
    <cellStyle name="60% - Accent1 6" xfId="158"/>
    <cellStyle name="60% - Accent1 7" xfId="159"/>
    <cellStyle name="60% - 輔色4" xfId="160"/>
    <cellStyle name="㼿㼿㼿㼿 10" xfId="161"/>
    <cellStyle name="20% - Accent5 4" xfId="162"/>
    <cellStyle name="PrePop Currency (0)" xfId="163"/>
    <cellStyle name="常规 128" xfId="164"/>
    <cellStyle name="no dec" xfId="165"/>
    <cellStyle name="Accent5 2 8" xfId="166"/>
    <cellStyle name="60% - Accent3 2 8" xfId="167"/>
    <cellStyle name="40% - 輔色6" xfId="168"/>
    <cellStyle name="40% - Accent2 4" xfId="169"/>
    <cellStyle name="40% - Accent3 5" xfId="170"/>
    <cellStyle name="40% - Accent3 7" xfId="171"/>
    <cellStyle name="Normal - Style1" xfId="172"/>
    <cellStyle name="40% - Accent6 5" xfId="173"/>
    <cellStyle name="差_正品道-VIP-P-P价格表(7月) 2" xfId="174"/>
    <cellStyle name="60% - Accent6 3" xfId="175"/>
    <cellStyle name="60% - Accent6 4" xfId="176"/>
    <cellStyle name="Explanatory Text" xfId="177"/>
    <cellStyle name="60% - Accent6 5" xfId="178"/>
    <cellStyle name="輔色6" xfId="179"/>
    <cellStyle name="超链接 10 3" xfId="180"/>
    <cellStyle name="pricing" xfId="181"/>
    <cellStyle name="60% - Accent1 5" xfId="182"/>
    <cellStyle name="60% - Accent3" xfId="183"/>
    <cellStyle name="60% - Accent3 4" xfId="184"/>
    <cellStyle name="60% - Accent3 5" xfId="185"/>
    <cellStyle name="60% - Accent4" xfId="186"/>
    <cellStyle name="per.style" xfId="187"/>
    <cellStyle name="Enter Units (2)" xfId="188"/>
    <cellStyle name="60% - Accent4 4" xfId="189"/>
    <cellStyle name="60% - Accent4 5" xfId="190"/>
    <cellStyle name="Heading 2 2" xfId="191"/>
    <cellStyle name="Heading 2 3" xfId="192"/>
    <cellStyle name="Heading 2 4" xfId="193"/>
    <cellStyle name="Heading 2 5" xfId="194"/>
    <cellStyle name="Heading 2 7" xfId="195"/>
    <cellStyle name="㼿㼿㼿㼿㼿㼿㼿㼿㼿㼿㼿㼿㼿㼿㼿" xfId="196"/>
    <cellStyle name="常规 37 5" xfId="197"/>
    <cellStyle name="標題" xfId="198"/>
    <cellStyle name="Copied" xfId="199"/>
    <cellStyle name="Warning Text 2" xfId="200"/>
    <cellStyle name="Warning Text 4" xfId="201"/>
    <cellStyle name="標準_0824_2012_MinChg_Audited_non638" xfId="202"/>
    <cellStyle name="Input Cells" xfId="203"/>
    <cellStyle name="Title 3" xfId="204"/>
    <cellStyle name="Title 4" xfId="205"/>
    <cellStyle name="Title 5" xfId="206"/>
    <cellStyle name="好_正品道-VIP-P-P价格表(7月)" xfId="207"/>
    <cellStyle name="RevList" xfId="208"/>
    <cellStyle name="超链接 6 2" xfId="209"/>
    <cellStyle name="常规 3 2 2 5 2" xfId="210"/>
    <cellStyle name="specstores" xfId="211"/>
    <cellStyle name="stlEndLink" xfId="212"/>
    <cellStyle name="Good 6" xfId="213"/>
    <cellStyle name="Currency [0]_!!!GO" xfId="214"/>
    <cellStyle name="Accent1 5" xfId="215"/>
    <cellStyle name="Accent1 7" xfId="216"/>
    <cellStyle name="Accent2 2" xfId="217"/>
    <cellStyle name="Accent2 4" xfId="218"/>
    <cellStyle name="Accent3" xfId="219"/>
    <cellStyle name="Accent3 4" xfId="220"/>
    <cellStyle name="Accent4" xfId="221"/>
    <cellStyle name="Accent4 4" xfId="222"/>
    <cellStyle name="Accent6 2" xfId="223"/>
    <cellStyle name="Accent6 4" xfId="224"/>
    <cellStyle name="Bad" xfId="225"/>
    <cellStyle name="Bad 4" xfId="226"/>
    <cellStyle name="Calc Currency (0)" xfId="227"/>
    <cellStyle name="Heading 1 2 6" xfId="228"/>
    <cellStyle name="Calc Percent (0)" xfId="229"/>
    <cellStyle name="Calc Percent (1)" xfId="230"/>
    <cellStyle name="Calc Units (1)" xfId="231"/>
    <cellStyle name="Calculation" xfId="232"/>
    <cellStyle name="Calculation 4" xfId="233"/>
    <cellStyle name="Calculation 5" xfId="234"/>
    <cellStyle name="Calculation 7" xfId="235"/>
    <cellStyle name="Normal 26 2" xfId="236"/>
    <cellStyle name="Check Cell" xfId="237"/>
    <cellStyle name="差_City-link_同行价SZT 2" xfId="238"/>
    <cellStyle name="Check Cell 4" xfId="239"/>
    <cellStyle name="Check Cell 5" xfId="240"/>
    <cellStyle name="Check Cell 7" xfId="241"/>
    <cellStyle name="Comma [0] 2" xfId="242"/>
    <cellStyle name="Normal 2 2 6" xfId="243"/>
    <cellStyle name="Comma [0]_!!!GO" xfId="244"/>
    <cellStyle name="Comma [00]" xfId="245"/>
    <cellStyle name="comma zerodec" xfId="246"/>
    <cellStyle name="Comma_!!!GO" xfId="247"/>
    <cellStyle name="COST1" xfId="248"/>
    <cellStyle name="Currency_!!!GO" xfId="249"/>
    <cellStyle name="Currency1" xfId="250"/>
    <cellStyle name="Dezimal [0]_Mappe2" xfId="251"/>
    <cellStyle name="Dezimal_AUFFOR95" xfId="252"/>
    <cellStyle name="Dollar (zero dec)" xfId="253"/>
    <cellStyle name="Entered" xfId="254"/>
    <cellStyle name="Explanatory Text 2" xfId="255"/>
    <cellStyle name="Explanatory Text 4" xfId="256"/>
    <cellStyle name="Good 4" xfId="257"/>
    <cellStyle name="Header2" xfId="258"/>
    <cellStyle name="Heading 1" xfId="259"/>
    <cellStyle name="超链接 5 4" xfId="260"/>
    <cellStyle name="Heading 1 4" xfId="261"/>
    <cellStyle name="Heading 1 5" xfId="262"/>
    <cellStyle name="Heading 1 7" xfId="263"/>
    <cellStyle name="Heading 3" xfId="264"/>
    <cellStyle name="Neutral 2" xfId="265"/>
    <cellStyle name="Heading 3 4" xfId="266"/>
    <cellStyle name="Heading 3 5" xfId="267"/>
    <cellStyle name="一般 34 8" xfId="268"/>
    <cellStyle name="Heading 4 4" xfId="269"/>
    <cellStyle name="Heading 4 5" xfId="270"/>
    <cellStyle name="Heading 4 7" xfId="271"/>
    <cellStyle name="HEADINGS" xfId="272"/>
    <cellStyle name="Hyperlink 2" xfId="273"/>
    <cellStyle name="Hyperlink_PERSONAL" xfId="274"/>
    <cellStyle name="Input [yellow]" xfId="275"/>
    <cellStyle name="Input 2" xfId="276"/>
    <cellStyle name="Input 34" xfId="277"/>
    <cellStyle name="Input 4" xfId="278"/>
    <cellStyle name="Input 5" xfId="279"/>
    <cellStyle name="Linked Cell" xfId="280"/>
    <cellStyle name="Linked Cell 4" xfId="281"/>
    <cellStyle name="Linked Cells" xfId="282"/>
    <cellStyle name="Milliers [0]_!!!GO" xfId="283"/>
    <cellStyle name="Monétaire [0]_!!!GO" xfId="284"/>
    <cellStyle name="Monétaire_!!!GO" xfId="285"/>
    <cellStyle name="Money" xfId="286"/>
    <cellStyle name="stlHeader" xfId="287"/>
    <cellStyle name="PSHeading" xfId="288"/>
    <cellStyle name="stlRateSize" xfId="289"/>
    <cellStyle name="PSChar" xfId="290"/>
    <cellStyle name="貨幣_2000 Rate Table" xfId="291"/>
    <cellStyle name="Normal 25 4" xfId="292"/>
    <cellStyle name="Normal 26 3" xfId="293"/>
    <cellStyle name="Text Indent C" xfId="294"/>
    <cellStyle name="Total 2 2" xfId="295"/>
    <cellStyle name="千分位[0]_2000 Rate Table" xfId="296"/>
    <cellStyle name="Standard 4" xfId="297"/>
    <cellStyle name="常规 2 14 2" xfId="298"/>
    <cellStyle name="好_City-link_同行价SZT" xfId="299"/>
    <cellStyle name="stlWgtDom" xfId="300"/>
    <cellStyle name="Output 4" xfId="301"/>
    <cellStyle name="Output 5" xfId="302"/>
    <cellStyle name="Output 7" xfId="303"/>
    <cellStyle name="Percent [0]" xfId="304"/>
    <cellStyle name="Percent [00]" xfId="305"/>
    <cellStyle name="Percent [2]" xfId="306"/>
    <cellStyle name="regstoresfromspecstores" xfId="307"/>
    <cellStyle name="SHADEDSTORES" xfId="308"/>
    <cellStyle name="Standard 9" xfId="309"/>
    <cellStyle name="stlEndNotes" xfId="310"/>
    <cellStyle name="stlRates" xfId="311"/>
    <cellStyle name="Subtotal" xfId="312"/>
    <cellStyle name="Super" xfId="313"/>
    <cellStyle name="Text Indent A" xfId="314"/>
    <cellStyle name="Text Indent B" xfId="315"/>
    <cellStyle name="Total" xfId="316"/>
    <cellStyle name="Total 4" xfId="317"/>
    <cellStyle name="Total 5" xfId="318"/>
    <cellStyle name="Total 7" xfId="319"/>
    <cellStyle name="百分比 2" xfId="320"/>
    <cellStyle name="常规 115" xfId="321"/>
    <cellStyle name="㼿㼿㼿㼿㼿" xfId="322"/>
    <cellStyle name="通貨_3RD-PTY IMP MATRIX" xfId="323"/>
    <cellStyle name="貨幣 [0]_2000 Rate Table" xfId="324"/>
    <cellStyle name="㽎㼿㼿㼿㼿㼿㼿㼿㼿" xfId="325"/>
    <cellStyle name="千分位_2000 Rate Table" xfId="326"/>
    <cellStyle name="千位分隔 2" xfId="327"/>
    <cellStyle name="표준_3rd region update (041217)" xfId="328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metadata.xml" Type="http://schemas.openxmlformats.org/officeDocument/2006/relationships/sheetMetadata"/><Relationship Id="rId6" Target="styles.xml" Type="http://schemas.openxmlformats.org/officeDocument/2006/relationships/styles"/><Relationship Id="rId7" Target="worksheets/sheet3.xml" Type="http://schemas.openxmlformats.org/officeDocument/2006/relationships/worksheet"/></Relationships>
</file>

<file path=xl/drawings/_rels/drawing2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38735</xdr:colOff>
      <xdr:row>2</xdr:row>
      <xdr:rowOff>0</xdr:rowOff>
    </xdr:from>
    <xdr:to>
      <xdr:col>7</xdr:col>
      <xdr:colOff>0</xdr:colOff>
      <xdr:row>2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38735" y="0"/>
          <a:ext cx="49466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8"/>
  <sheetViews>
    <sheetView workbookViewId="0">
      <selection activeCell="I29" sqref="I29"/>
    </sheetView>
  </sheetViews>
  <sheetFormatPr defaultColWidth="9" defaultRowHeight="14.25" outlineLevelCol="2"/>
  <cols>
    <col min="1" max="1" customWidth="true" style="1" width="24.725" collapsed="false"/>
    <col min="2" max="2" customWidth="true" style="1" width="39.0" collapsed="false"/>
    <col min="3" max="16384" style="1" width="9.0" collapsed="false"/>
  </cols>
  <sheetData>
    <row r="1" s="1" customFormat="1" ht="16.5" spans="1:3">
      <c r="A1" s="2" t="s">
        <v>80</v>
      </c>
      <c r="B1" s="3" t="s">
        <v>81</v>
      </c>
      <c r="C1" s="1" t="s">
        <v>82</v>
      </c>
    </row>
    <row r="2" s="1" customFormat="1" spans="1:3">
      <c r="A2" s="4" t="s">
        <v>83</v>
      </c>
      <c r="B2" s="5" t="s">
        <v>84</v>
      </c>
      <c r="C2" s="1" t="s">
        <v>84</v>
      </c>
    </row>
    <row r="3" s="1" customFormat="1" spans="1:2">
      <c r="A3" s="6" t="s">
        <v>85</v>
      </c>
      <c r="B3" s="6" t="s">
        <v>86</v>
      </c>
    </row>
    <row r="4" s="1" customFormat="1" spans="1:3">
      <c r="A4" s="6" t="s">
        <v>87</v>
      </c>
      <c r="B4" s="6" t="s">
        <v>88</v>
      </c>
      <c r="C4" s="1" t="s">
        <v>89</v>
      </c>
    </row>
    <row r="5" s="1" customFormat="1" spans="1:3">
      <c r="A5" s="6" t="s">
        <v>90</v>
      </c>
      <c r="B5" s="6" t="s">
        <v>91</v>
      </c>
      <c r="C5" s="1" t="s">
        <v>92</v>
      </c>
    </row>
    <row r="6" s="1" customFormat="1" spans="1:3">
      <c r="A6" s="6" t="s">
        <v>93</v>
      </c>
      <c r="B6" s="6" t="s">
        <v>94</v>
      </c>
      <c r="C6" s="1" t="s">
        <v>95</v>
      </c>
    </row>
    <row r="7" s="1" customFormat="1" spans="1:3">
      <c r="A7" s="6" t="s">
        <v>96</v>
      </c>
      <c r="B7" s="6" t="s">
        <v>97</v>
      </c>
      <c r="C7" s="1" t="s">
        <v>97</v>
      </c>
    </row>
    <row r="8" s="1" customFormat="1" spans="1:3">
      <c r="A8" s="6" t="s">
        <v>98</v>
      </c>
      <c r="B8" s="6" t="s">
        <v>99</v>
      </c>
      <c r="C8" s="1" t="s">
        <v>100</v>
      </c>
    </row>
    <row r="9" s="1" customFormat="1" spans="1:3">
      <c r="A9" s="6" t="s">
        <v>101</v>
      </c>
      <c r="B9" s="6" t="s">
        <v>102</v>
      </c>
      <c r="C9" s="1" t="s">
        <v>103</v>
      </c>
    </row>
    <row r="10" s="1" customFormat="1" spans="1:3">
      <c r="A10" s="6" t="s">
        <v>104</v>
      </c>
      <c r="B10" s="6" t="s">
        <v>105</v>
      </c>
      <c r="C10" s="1" t="s">
        <v>106</v>
      </c>
    </row>
    <row r="11" s="1" customFormat="1" spans="1:3">
      <c r="A11" s="6" t="s">
        <v>107</v>
      </c>
      <c r="B11" s="6" t="s">
        <v>108</v>
      </c>
      <c r="C11" s="1" t="s">
        <v>109</v>
      </c>
    </row>
    <row r="12" s="1" customFormat="1" spans="1:3">
      <c r="A12" s="6" t="s">
        <v>110</v>
      </c>
      <c r="B12" s="6" t="s">
        <v>111</v>
      </c>
      <c r="C12" s="1" t="s">
        <v>112</v>
      </c>
    </row>
    <row r="13" s="1" customFormat="1" spans="1:3">
      <c r="A13" s="6" t="s">
        <v>113</v>
      </c>
      <c r="B13" s="6" t="s">
        <v>114</v>
      </c>
      <c r="C13" s="1" t="s">
        <v>115</v>
      </c>
    </row>
    <row r="14" s="1" customFormat="1" spans="1:3">
      <c r="A14" s="6" t="s">
        <v>116</v>
      </c>
      <c r="B14" s="6" t="s">
        <v>117</v>
      </c>
      <c r="C14" s="1" t="s">
        <v>117</v>
      </c>
    </row>
    <row r="15" s="1" customFormat="1" spans="1:3">
      <c r="A15" s="6" t="s">
        <v>118</v>
      </c>
      <c r="B15" s="6" t="s">
        <v>119</v>
      </c>
      <c r="C15" s="1" t="s">
        <v>120</v>
      </c>
    </row>
    <row r="16" s="1" customFormat="1" spans="1:3">
      <c r="A16" s="6" t="s">
        <v>121</v>
      </c>
      <c r="B16" s="6" t="s">
        <v>122</v>
      </c>
      <c r="C16" s="1" t="s">
        <v>122</v>
      </c>
    </row>
    <row r="17" s="1" customFormat="1" spans="1:3">
      <c r="A17" s="6" t="s">
        <v>123</v>
      </c>
      <c r="B17" s="6" t="s">
        <v>124</v>
      </c>
      <c r="C17" s="1" t="s">
        <v>125</v>
      </c>
    </row>
    <row r="18" s="1" customFormat="1" spans="1:3">
      <c r="A18" s="6" t="s">
        <v>126</v>
      </c>
      <c r="B18" s="6" t="s">
        <v>127</v>
      </c>
      <c r="C18" s="1" t="s">
        <v>128</v>
      </c>
    </row>
    <row r="19" s="1" customFormat="1" spans="1:3">
      <c r="A19" s="6" t="s">
        <v>129</v>
      </c>
      <c r="B19" s="6" t="s">
        <v>130</v>
      </c>
      <c r="C19" s="1" t="s">
        <v>131</v>
      </c>
    </row>
    <row r="20" s="1" customFormat="1" spans="1:3">
      <c r="A20" s="6" t="s">
        <v>132</v>
      </c>
      <c r="B20" s="6" t="s">
        <v>133</v>
      </c>
      <c r="C20" s="1" t="s">
        <v>133</v>
      </c>
    </row>
    <row r="21" s="1" customFormat="1" spans="1:3">
      <c r="A21" s="6" t="s">
        <v>134</v>
      </c>
      <c r="B21" s="6" t="s">
        <v>135</v>
      </c>
      <c r="C21" s="1" t="s">
        <v>135</v>
      </c>
    </row>
    <row r="22" s="1" customFormat="1" spans="1:3">
      <c r="A22" s="6" t="s">
        <v>136</v>
      </c>
      <c r="B22" s="6" t="s">
        <v>137</v>
      </c>
      <c r="C22" s="1" t="s">
        <v>138</v>
      </c>
    </row>
    <row r="23" s="1" customFormat="1" spans="1:3">
      <c r="A23" s="6" t="s">
        <v>139</v>
      </c>
      <c r="B23" s="6" t="s">
        <v>140</v>
      </c>
      <c r="C23" s="1" t="s">
        <v>140</v>
      </c>
    </row>
    <row r="24" s="1" customFormat="1" spans="1:3">
      <c r="A24" s="6" t="s">
        <v>141</v>
      </c>
      <c r="B24" s="6" t="s">
        <v>142</v>
      </c>
      <c r="C24" s="1" t="s">
        <v>142</v>
      </c>
    </row>
    <row r="25" s="1" customFormat="1" spans="1:3">
      <c r="A25" s="6" t="s">
        <v>143</v>
      </c>
      <c r="B25" s="6" t="s">
        <v>144</v>
      </c>
      <c r="C25" s="1" t="s">
        <v>144</v>
      </c>
    </row>
    <row r="26" s="1" customFormat="1" spans="1:3">
      <c r="A26" s="6" t="s">
        <v>145</v>
      </c>
      <c r="B26" s="6" t="s">
        <v>146</v>
      </c>
      <c r="C26" s="1" t="s">
        <v>146</v>
      </c>
    </row>
    <row r="27" s="1" customFormat="1" spans="1:3">
      <c r="A27" s="6" t="s">
        <v>147</v>
      </c>
      <c r="B27" s="6" t="s">
        <v>148</v>
      </c>
      <c r="C27" s="1" t="s">
        <v>149</v>
      </c>
    </row>
    <row r="28" s="1" customFormat="1" spans="1:3">
      <c r="A28" s="6" t="s">
        <v>150</v>
      </c>
      <c r="B28" s="6" t="s">
        <v>151</v>
      </c>
      <c r="C28" s="1" t="s">
        <v>152</v>
      </c>
    </row>
    <row r="29" s="1" customFormat="1" spans="1:3">
      <c r="A29" s="6" t="s">
        <v>153</v>
      </c>
      <c r="B29" s="6" t="s">
        <v>154</v>
      </c>
      <c r="C29" s="1" t="s">
        <v>155</v>
      </c>
    </row>
    <row r="30" s="1" customFormat="1" spans="1:3">
      <c r="A30" s="6" t="s">
        <v>156</v>
      </c>
      <c r="B30" s="6" t="s">
        <v>157</v>
      </c>
      <c r="C30" s="1" t="s">
        <v>158</v>
      </c>
    </row>
    <row r="31" s="1" customFormat="1" spans="1:3">
      <c r="A31" s="6" t="s">
        <v>159</v>
      </c>
      <c r="B31" s="6" t="s">
        <v>160</v>
      </c>
      <c r="C31" s="1" t="s">
        <v>160</v>
      </c>
    </row>
    <row r="32" s="1" customFormat="1" spans="1:3">
      <c r="A32" s="6" t="s">
        <v>161</v>
      </c>
      <c r="B32" s="6" t="s">
        <v>162</v>
      </c>
      <c r="C32" s="1" t="s">
        <v>162</v>
      </c>
    </row>
    <row r="33" s="1" customFormat="1" spans="1:3">
      <c r="A33" s="6" t="s">
        <v>163</v>
      </c>
      <c r="B33" s="6" t="s">
        <v>164</v>
      </c>
      <c r="C33" s="1" t="s">
        <v>164</v>
      </c>
    </row>
    <row r="34" s="1" customFormat="1" spans="1:3">
      <c r="A34" s="6" t="s">
        <v>165</v>
      </c>
      <c r="B34" s="6" t="s">
        <v>166</v>
      </c>
      <c r="C34" s="1" t="s">
        <v>167</v>
      </c>
    </row>
    <row r="35" s="1" customFormat="1" spans="1:3">
      <c r="A35" s="6" t="s">
        <v>168</v>
      </c>
      <c r="B35" s="6" t="s">
        <v>169</v>
      </c>
      <c r="C35" s="1" t="s">
        <v>169</v>
      </c>
    </row>
    <row r="36" s="1" customFormat="1" spans="1:3">
      <c r="A36" s="6" t="s">
        <v>170</v>
      </c>
      <c r="B36" s="6" t="s">
        <v>171</v>
      </c>
      <c r="C36" s="1" t="s">
        <v>172</v>
      </c>
    </row>
    <row r="37" s="1" customFormat="1" spans="1:3">
      <c r="A37" s="6" t="s">
        <v>173</v>
      </c>
      <c r="B37" s="6" t="s">
        <v>174</v>
      </c>
      <c r="C37" s="1" t="s">
        <v>175</v>
      </c>
    </row>
    <row r="38" s="1" customFormat="1" spans="1:3">
      <c r="A38" s="6" t="s">
        <v>176</v>
      </c>
      <c r="B38" s="6" t="s">
        <v>177</v>
      </c>
      <c r="C38" s="1" t="s">
        <v>178</v>
      </c>
    </row>
    <row r="39" s="1" customFormat="1" spans="1:3">
      <c r="A39" s="6" t="s">
        <v>179</v>
      </c>
      <c r="B39" s="6" t="s">
        <v>180</v>
      </c>
      <c r="C39" s="1" t="s">
        <v>181</v>
      </c>
    </row>
    <row r="40" s="1" customFormat="1" spans="1:3">
      <c r="A40" s="6" t="s">
        <v>182</v>
      </c>
      <c r="B40" s="6" t="s">
        <v>183</v>
      </c>
      <c r="C40" s="1" t="s">
        <v>184</v>
      </c>
    </row>
    <row r="41" s="1" customFormat="1" spans="1:3">
      <c r="A41" s="6" t="s">
        <v>185</v>
      </c>
      <c r="B41" s="6" t="s">
        <v>186</v>
      </c>
      <c r="C41" s="1" t="s">
        <v>187</v>
      </c>
    </row>
    <row r="42" s="1" customFormat="1" spans="1:3">
      <c r="A42" s="6" t="s">
        <v>188</v>
      </c>
      <c r="B42" s="6" t="s">
        <v>189</v>
      </c>
      <c r="C42" s="1" t="s">
        <v>189</v>
      </c>
    </row>
    <row r="43" s="1" customFormat="1" spans="1:3">
      <c r="A43" s="6" t="s">
        <v>190</v>
      </c>
      <c r="B43" s="6" t="s">
        <v>191</v>
      </c>
      <c r="C43" s="1" t="s">
        <v>192</v>
      </c>
    </row>
    <row r="44" s="1" customFormat="1" spans="1:3">
      <c r="A44" s="6" t="s">
        <v>193</v>
      </c>
      <c r="B44" s="6" t="s">
        <v>194</v>
      </c>
      <c r="C44" s="1" t="s">
        <v>195</v>
      </c>
    </row>
    <row r="45" s="1" customFormat="1" spans="1:3">
      <c r="A45" s="6" t="s">
        <v>196</v>
      </c>
      <c r="B45" s="6" t="s">
        <v>197</v>
      </c>
      <c r="C45" s="1" t="s">
        <v>198</v>
      </c>
    </row>
    <row r="46" s="1" customFormat="1" spans="1:3">
      <c r="A46" s="6" t="s">
        <v>199</v>
      </c>
      <c r="B46" s="6" t="s">
        <v>200</v>
      </c>
      <c r="C46" s="1" t="s">
        <v>201</v>
      </c>
    </row>
    <row r="47" s="1" customFormat="1" spans="1:3">
      <c r="A47" s="6" t="s">
        <v>202</v>
      </c>
      <c r="B47" s="6" t="s">
        <v>203</v>
      </c>
      <c r="C47" s="1" t="s">
        <v>204</v>
      </c>
    </row>
    <row r="48" s="1" customFormat="1" spans="1:3">
      <c r="A48" s="6" t="s">
        <v>205</v>
      </c>
      <c r="B48" s="6" t="s">
        <v>206</v>
      </c>
      <c r="C48" s="1" t="s">
        <v>207</v>
      </c>
    </row>
    <row r="49" s="1" customFormat="1" spans="1:3">
      <c r="A49" s="6" t="s">
        <v>208</v>
      </c>
      <c r="B49" s="6" t="s">
        <v>209</v>
      </c>
      <c r="C49" s="1" t="s">
        <v>210</v>
      </c>
    </row>
    <row r="50" s="1" customFormat="1" spans="1:3">
      <c r="A50" s="6" t="s">
        <v>211</v>
      </c>
      <c r="B50" s="6" t="s">
        <v>212</v>
      </c>
      <c r="C50" s="1" t="s">
        <v>213</v>
      </c>
    </row>
    <row r="51" s="1" customFormat="1" spans="1:3">
      <c r="A51" s="6" t="s">
        <v>214</v>
      </c>
      <c r="B51" s="6" t="s">
        <v>215</v>
      </c>
      <c r="C51" s="1" t="s">
        <v>216</v>
      </c>
    </row>
    <row r="52" s="1" customFormat="1" spans="1:3">
      <c r="A52" s="6" t="s">
        <v>217</v>
      </c>
      <c r="B52" s="6" t="s">
        <v>218</v>
      </c>
      <c r="C52" s="1" t="s">
        <v>219</v>
      </c>
    </row>
    <row r="53" s="1" customFormat="1" spans="1:3">
      <c r="A53" s="6" t="s">
        <v>220</v>
      </c>
      <c r="B53" s="6" t="s">
        <v>221</v>
      </c>
      <c r="C53" s="1" t="s">
        <v>222</v>
      </c>
    </row>
    <row r="54" s="1" customFormat="1" spans="1:3">
      <c r="A54" s="6" t="s">
        <v>223</v>
      </c>
      <c r="B54" s="6" t="s">
        <v>224</v>
      </c>
      <c r="C54" s="1" t="s">
        <v>225</v>
      </c>
    </row>
    <row r="55" s="1" customFormat="1" spans="1:3">
      <c r="A55" s="6" t="s">
        <v>226</v>
      </c>
      <c r="B55" s="6" t="s">
        <v>227</v>
      </c>
      <c r="C55" s="1" t="s">
        <v>228</v>
      </c>
    </row>
    <row r="56" s="1" customFormat="1" spans="1:3">
      <c r="A56" s="6" t="s">
        <v>229</v>
      </c>
      <c r="B56" s="6" t="s">
        <v>230</v>
      </c>
      <c r="C56" s="1" t="s">
        <v>231</v>
      </c>
    </row>
    <row r="57" s="1" customFormat="1" spans="1:3">
      <c r="A57" s="6" t="s">
        <v>232</v>
      </c>
      <c r="B57" s="6" t="s">
        <v>233</v>
      </c>
      <c r="C57" s="1" t="s">
        <v>234</v>
      </c>
    </row>
    <row r="58" s="1" customFormat="1" spans="1:3">
      <c r="A58" s="6" t="s">
        <v>235</v>
      </c>
      <c r="B58" s="6" t="s">
        <v>236</v>
      </c>
      <c r="C58" s="1" t="s">
        <v>237</v>
      </c>
    </row>
    <row r="59" s="1" customFormat="1" spans="1:3">
      <c r="A59" s="6" t="s">
        <v>238</v>
      </c>
      <c r="B59" s="6" t="s">
        <v>239</v>
      </c>
      <c r="C59" s="1" t="s">
        <v>240</v>
      </c>
    </row>
    <row r="60" s="1" customFormat="1" spans="1:3">
      <c r="A60" s="6" t="s">
        <v>241</v>
      </c>
      <c r="B60" s="6" t="s">
        <v>242</v>
      </c>
      <c r="C60" s="1" t="s">
        <v>243</v>
      </c>
    </row>
    <row r="61" s="1" customFormat="1" spans="1:3">
      <c r="A61" s="6" t="s">
        <v>244</v>
      </c>
      <c r="B61" s="6" t="s">
        <v>245</v>
      </c>
      <c r="C61" s="1" t="s">
        <v>246</v>
      </c>
    </row>
    <row r="62" s="1" customFormat="1" spans="1:3">
      <c r="A62" s="6" t="s">
        <v>247</v>
      </c>
      <c r="B62" s="6" t="s">
        <v>248</v>
      </c>
      <c r="C62" s="1" t="s">
        <v>249</v>
      </c>
    </row>
    <row r="63" s="1" customFormat="1" spans="1:3">
      <c r="A63" s="6" t="s">
        <v>250</v>
      </c>
      <c r="B63" s="6" t="s">
        <v>251</v>
      </c>
      <c r="C63" s="1" t="s">
        <v>252</v>
      </c>
    </row>
    <row r="64" s="1" customFormat="1" spans="1:3">
      <c r="A64" s="6" t="s">
        <v>253</v>
      </c>
      <c r="B64" s="6" t="s">
        <v>254</v>
      </c>
      <c r="C64" s="1" t="s">
        <v>255</v>
      </c>
    </row>
    <row r="65" s="1" customFormat="1" spans="1:3">
      <c r="A65" s="6" t="s">
        <v>256</v>
      </c>
      <c r="B65" s="6" t="s">
        <v>257</v>
      </c>
      <c r="C65" s="1" t="s">
        <v>258</v>
      </c>
    </row>
    <row r="66" s="1" customFormat="1" spans="1:3">
      <c r="A66" s="6" t="s">
        <v>259</v>
      </c>
      <c r="B66" s="6" t="s">
        <v>260</v>
      </c>
      <c r="C66" s="1" t="s">
        <v>261</v>
      </c>
    </row>
    <row r="67" s="1" customFormat="1" spans="1:3">
      <c r="A67" s="6" t="s">
        <v>262</v>
      </c>
      <c r="B67" s="6" t="s">
        <v>263</v>
      </c>
      <c r="C67" s="1" t="s">
        <v>264</v>
      </c>
    </row>
    <row r="68" s="1" customFormat="1" spans="1:3">
      <c r="A68" s="6" t="s">
        <v>265</v>
      </c>
      <c r="B68" s="6" t="s">
        <v>266</v>
      </c>
      <c r="C68" s="1" t="s">
        <v>267</v>
      </c>
    </row>
    <row r="69" s="1" customFormat="1" spans="1:3">
      <c r="A69" s="6" t="s">
        <v>268</v>
      </c>
      <c r="B69" s="6" t="s">
        <v>269</v>
      </c>
      <c r="C69" s="1" t="s">
        <v>270</v>
      </c>
    </row>
    <row r="70" s="1" customFormat="1" spans="1:3">
      <c r="A70" s="6" t="s">
        <v>271</v>
      </c>
      <c r="B70" s="6" t="s">
        <v>272</v>
      </c>
      <c r="C70" s="1" t="s">
        <v>273</v>
      </c>
    </row>
    <row r="71" s="1" customFormat="1" spans="1:3">
      <c r="A71" s="6" t="s">
        <v>274</v>
      </c>
      <c r="B71" s="6" t="s">
        <v>275</v>
      </c>
      <c r="C71" s="1" t="s">
        <v>276</v>
      </c>
    </row>
    <row r="72" s="1" customFormat="1" spans="1:3">
      <c r="A72" s="6" t="s">
        <v>277</v>
      </c>
      <c r="B72" s="6" t="s">
        <v>278</v>
      </c>
      <c r="C72" s="1" t="s">
        <v>279</v>
      </c>
    </row>
    <row r="73" s="1" customFormat="1" spans="1:3">
      <c r="A73" s="6" t="s">
        <v>280</v>
      </c>
      <c r="B73" s="6" t="s">
        <v>281</v>
      </c>
      <c r="C73" s="1" t="s">
        <v>282</v>
      </c>
    </row>
    <row r="74" s="1" customFormat="1" spans="1:3">
      <c r="A74" s="6" t="s">
        <v>283</v>
      </c>
      <c r="B74" s="6" t="s">
        <v>284</v>
      </c>
      <c r="C74" s="1" t="s">
        <v>285</v>
      </c>
    </row>
    <row r="75" s="1" customFormat="1" spans="1:3">
      <c r="A75" s="6" t="s">
        <v>286</v>
      </c>
      <c r="B75" s="6" t="s">
        <v>287</v>
      </c>
      <c r="C75" s="1" t="s">
        <v>288</v>
      </c>
    </row>
    <row r="76" s="1" customFormat="1" spans="1:3">
      <c r="A76" s="6" t="s">
        <v>289</v>
      </c>
      <c r="B76" s="6" t="s">
        <v>290</v>
      </c>
      <c r="C76" s="1" t="s">
        <v>291</v>
      </c>
    </row>
    <row r="77" s="1" customFormat="1" spans="1:3">
      <c r="A77" s="6" t="s">
        <v>292</v>
      </c>
      <c r="B77" s="6" t="s">
        <v>293</v>
      </c>
      <c r="C77" s="1" t="s">
        <v>293</v>
      </c>
    </row>
    <row r="78" s="1" customFormat="1" spans="1:3">
      <c r="A78" s="6" t="s">
        <v>294</v>
      </c>
      <c r="B78" s="6" t="s">
        <v>295</v>
      </c>
      <c r="C78" s="1" t="s">
        <v>296</v>
      </c>
    </row>
    <row r="79" s="1" customFormat="1" spans="1:3">
      <c r="A79" s="6" t="s">
        <v>297</v>
      </c>
      <c r="B79" s="6" t="s">
        <v>298</v>
      </c>
      <c r="C79" s="1" t="s">
        <v>299</v>
      </c>
    </row>
    <row r="80" s="1" customFormat="1" spans="1:3">
      <c r="A80" s="6" t="s">
        <v>300</v>
      </c>
      <c r="B80" s="6" t="s">
        <v>301</v>
      </c>
      <c r="C80" s="1" t="s">
        <v>302</v>
      </c>
    </row>
    <row r="81" s="1" customFormat="1" spans="1:3">
      <c r="A81" s="6" t="s">
        <v>303</v>
      </c>
      <c r="B81" s="6" t="s">
        <v>304</v>
      </c>
      <c r="C81" s="1" t="s">
        <v>305</v>
      </c>
    </row>
    <row r="82" s="1" customFormat="1" spans="1:3">
      <c r="A82" s="6" t="s">
        <v>306</v>
      </c>
      <c r="B82" s="6" t="s">
        <v>307</v>
      </c>
      <c r="C82" s="1" t="s">
        <v>308</v>
      </c>
    </row>
    <row r="83" s="1" customFormat="1" spans="1:3">
      <c r="A83" s="6" t="s">
        <v>309</v>
      </c>
      <c r="B83" s="6" t="s">
        <v>310</v>
      </c>
      <c r="C83" s="1" t="s">
        <v>311</v>
      </c>
    </row>
    <row r="84" s="1" customFormat="1" spans="1:3">
      <c r="A84" s="6" t="s">
        <v>312</v>
      </c>
      <c r="B84" s="6" t="s">
        <v>313</v>
      </c>
      <c r="C84" s="1" t="s">
        <v>314</v>
      </c>
    </row>
    <row r="85" s="1" customFormat="1" spans="1:3">
      <c r="A85" s="6" t="s">
        <v>315</v>
      </c>
      <c r="B85" s="6" t="s">
        <v>316</v>
      </c>
      <c r="C85" s="1" t="s">
        <v>316</v>
      </c>
    </row>
    <row r="86" s="1" customFormat="1" spans="1:3">
      <c r="A86" s="6" t="s">
        <v>317</v>
      </c>
      <c r="B86" s="6" t="s">
        <v>318</v>
      </c>
      <c r="C86" s="1" t="s">
        <v>318</v>
      </c>
    </row>
    <row r="87" s="1" customFormat="1" spans="1:3">
      <c r="A87" s="6" t="s">
        <v>319</v>
      </c>
      <c r="B87" s="6" t="s">
        <v>320</v>
      </c>
      <c r="C87" s="1" t="s">
        <v>321</v>
      </c>
    </row>
    <row r="88" s="1" customFormat="1" spans="1:3">
      <c r="A88" s="6" t="s">
        <v>322</v>
      </c>
      <c r="B88" s="6" t="s">
        <v>323</v>
      </c>
      <c r="C88" s="1" t="s">
        <v>323</v>
      </c>
    </row>
    <row r="89" s="1" customFormat="1" spans="1:3">
      <c r="A89" s="6" t="s">
        <v>324</v>
      </c>
      <c r="B89" s="6" t="s">
        <v>325</v>
      </c>
      <c r="C89" s="1" t="s">
        <v>325</v>
      </c>
    </row>
    <row r="90" s="1" customFormat="1" spans="1:3">
      <c r="A90" s="6" t="s">
        <v>326</v>
      </c>
      <c r="B90" s="6" t="s">
        <v>327</v>
      </c>
      <c r="C90" s="1" t="s">
        <v>328</v>
      </c>
    </row>
    <row r="91" s="1" customFormat="1" spans="1:3">
      <c r="A91" s="6" t="s">
        <v>329</v>
      </c>
      <c r="B91" s="6" t="s">
        <v>330</v>
      </c>
      <c r="C91" s="1" t="s">
        <v>331</v>
      </c>
    </row>
    <row r="92" s="1" customFormat="1" spans="1:3">
      <c r="A92" s="6" t="s">
        <v>332</v>
      </c>
      <c r="B92" s="6" t="s">
        <v>333</v>
      </c>
      <c r="C92" s="1" t="s">
        <v>334</v>
      </c>
    </row>
    <row r="93" s="1" customFormat="1" spans="1:3">
      <c r="A93" s="6" t="s">
        <v>335</v>
      </c>
      <c r="B93" s="6" t="s">
        <v>336</v>
      </c>
      <c r="C93" s="1" t="s">
        <v>337</v>
      </c>
    </row>
    <row r="94" s="1" customFormat="1" spans="1:3">
      <c r="A94" s="6" t="s">
        <v>338</v>
      </c>
      <c r="B94" s="6" t="s">
        <v>339</v>
      </c>
      <c r="C94" s="1" t="s">
        <v>340</v>
      </c>
    </row>
    <row r="95" s="1" customFormat="1" spans="1:3">
      <c r="A95" s="6" t="s">
        <v>341</v>
      </c>
      <c r="B95" s="6" t="s">
        <v>342</v>
      </c>
      <c r="C95" s="1" t="s">
        <v>343</v>
      </c>
    </row>
    <row r="96" s="1" customFormat="1" spans="1:3">
      <c r="A96" s="6" t="s">
        <v>344</v>
      </c>
      <c r="B96" s="6" t="s">
        <v>345</v>
      </c>
      <c r="C96" s="1" t="s">
        <v>346</v>
      </c>
    </row>
    <row r="97" s="1" customFormat="1" spans="1:3">
      <c r="A97" s="6" t="s">
        <v>347</v>
      </c>
      <c r="B97" s="6" t="s">
        <v>348</v>
      </c>
      <c r="C97" s="1" t="s">
        <v>349</v>
      </c>
    </row>
    <row r="98" s="1" customFormat="1" spans="1:3">
      <c r="A98" s="6" t="s">
        <v>350</v>
      </c>
      <c r="B98" s="6" t="s">
        <v>351</v>
      </c>
      <c r="C98" s="1" t="s">
        <v>352</v>
      </c>
    </row>
    <row r="99" s="1" customFormat="1" spans="1:3">
      <c r="A99" s="6" t="s">
        <v>353</v>
      </c>
      <c r="B99" s="6" t="s">
        <v>354</v>
      </c>
      <c r="C99" s="1" t="s">
        <v>355</v>
      </c>
    </row>
    <row r="100" s="1" customFormat="1" spans="1:3">
      <c r="A100" s="6" t="s">
        <v>356</v>
      </c>
      <c r="B100" s="6" t="s">
        <v>357</v>
      </c>
      <c r="C100" s="1" t="s">
        <v>358</v>
      </c>
    </row>
    <row r="101" s="1" customFormat="1" spans="1:3">
      <c r="A101" s="6" t="s">
        <v>359</v>
      </c>
      <c r="B101" s="6" t="s">
        <v>360</v>
      </c>
      <c r="C101" s="1" t="s">
        <v>360</v>
      </c>
    </row>
    <row r="102" s="1" customFormat="1" spans="1:3">
      <c r="A102" s="6" t="s">
        <v>361</v>
      </c>
      <c r="B102" s="6" t="s">
        <v>362</v>
      </c>
      <c r="C102" s="1" t="s">
        <v>363</v>
      </c>
    </row>
    <row r="103" s="1" customFormat="1" spans="1:3">
      <c r="A103" s="6" t="s">
        <v>364</v>
      </c>
      <c r="B103" s="6" t="s">
        <v>365</v>
      </c>
      <c r="C103" s="1" t="s">
        <v>366</v>
      </c>
    </row>
    <row r="104" s="1" customFormat="1" spans="1:3">
      <c r="A104" s="6" t="s">
        <v>367</v>
      </c>
      <c r="B104" s="6" t="s">
        <v>368</v>
      </c>
      <c r="C104" s="1" t="s">
        <v>368</v>
      </c>
    </row>
    <row r="105" s="1" customFormat="1" spans="1:3">
      <c r="A105" s="6" t="s">
        <v>369</v>
      </c>
      <c r="B105" s="6" t="s">
        <v>370</v>
      </c>
      <c r="C105" s="1" t="s">
        <v>370</v>
      </c>
    </row>
    <row r="106" s="1" customFormat="1" spans="1:3">
      <c r="A106" s="6" t="s">
        <v>371</v>
      </c>
      <c r="B106" s="6" t="s">
        <v>372</v>
      </c>
      <c r="C106" s="1" t="s">
        <v>372</v>
      </c>
    </row>
    <row r="107" s="1" customFormat="1" spans="1:3">
      <c r="A107" s="6" t="s">
        <v>373</v>
      </c>
      <c r="B107" s="6" t="s">
        <v>374</v>
      </c>
      <c r="C107" s="1" t="s">
        <v>374</v>
      </c>
    </row>
    <row r="108" s="1" customFormat="1" spans="1:3">
      <c r="A108" s="6" t="s">
        <v>375</v>
      </c>
      <c r="B108" s="6" t="s">
        <v>376</v>
      </c>
      <c r="C108" s="1" t="s">
        <v>377</v>
      </c>
    </row>
    <row r="109" s="1" customFormat="1" spans="1:3">
      <c r="A109" s="6" t="s">
        <v>378</v>
      </c>
      <c r="B109" s="6" t="s">
        <v>379</v>
      </c>
      <c r="C109" s="1" t="s">
        <v>380</v>
      </c>
    </row>
    <row r="110" s="1" customFormat="1" spans="1:3">
      <c r="A110" s="6" t="s">
        <v>381</v>
      </c>
      <c r="B110" s="6" t="s">
        <v>382</v>
      </c>
      <c r="C110" s="1" t="s">
        <v>382</v>
      </c>
    </row>
    <row r="111" s="1" customFormat="1" spans="1:3">
      <c r="A111" s="6" t="s">
        <v>383</v>
      </c>
      <c r="B111" s="6" t="s">
        <v>384</v>
      </c>
      <c r="C111" s="1" t="s">
        <v>385</v>
      </c>
    </row>
    <row r="112" s="1" customFormat="1" spans="1:3">
      <c r="A112" s="6" t="s">
        <v>386</v>
      </c>
      <c r="B112" s="6" t="s">
        <v>387</v>
      </c>
      <c r="C112" s="1" t="s">
        <v>388</v>
      </c>
    </row>
    <row r="113" s="1" customFormat="1" spans="1:3">
      <c r="A113" s="6" t="s">
        <v>389</v>
      </c>
      <c r="B113" s="6" t="s">
        <v>390</v>
      </c>
      <c r="C113" s="1" t="s">
        <v>391</v>
      </c>
    </row>
    <row r="114" s="1" customFormat="1" spans="1:3">
      <c r="A114" s="6" t="s">
        <v>392</v>
      </c>
      <c r="B114" s="6" t="s">
        <v>393</v>
      </c>
      <c r="C114" s="1" t="s">
        <v>394</v>
      </c>
    </row>
    <row r="115" s="1" customFormat="1" spans="1:3">
      <c r="A115" s="6" t="s">
        <v>395</v>
      </c>
      <c r="B115" s="6" t="s">
        <v>396</v>
      </c>
      <c r="C115" s="1" t="s">
        <v>397</v>
      </c>
    </row>
    <row r="116" s="1" customFormat="1" spans="1:3">
      <c r="A116" s="6" t="s">
        <v>398</v>
      </c>
      <c r="B116" s="6" t="s">
        <v>399</v>
      </c>
      <c r="C116" s="1" t="s">
        <v>400</v>
      </c>
    </row>
    <row r="117" s="1" customFormat="1" spans="1:3">
      <c r="A117" s="6" t="s">
        <v>401</v>
      </c>
      <c r="B117" s="6" t="s">
        <v>402</v>
      </c>
      <c r="C117" s="1" t="s">
        <v>403</v>
      </c>
    </row>
    <row r="118" s="1" customFormat="1" spans="1:3">
      <c r="A118" s="6" t="s">
        <v>404</v>
      </c>
      <c r="B118" s="6" t="s">
        <v>405</v>
      </c>
      <c r="C118" s="1" t="s">
        <v>406</v>
      </c>
    </row>
    <row r="119" s="1" customFormat="1" spans="1:3">
      <c r="A119" s="6" t="s">
        <v>407</v>
      </c>
      <c r="B119" s="6" t="s">
        <v>408</v>
      </c>
      <c r="C119" s="1" t="s">
        <v>409</v>
      </c>
    </row>
    <row r="120" s="1" customFormat="1" spans="1:3">
      <c r="A120" s="6" t="s">
        <v>410</v>
      </c>
      <c r="B120" s="6" t="s">
        <v>411</v>
      </c>
      <c r="C120" s="1" t="s">
        <v>412</v>
      </c>
    </row>
    <row r="121" s="1" customFormat="1" spans="1:3">
      <c r="A121" s="6" t="s">
        <v>413</v>
      </c>
      <c r="B121" s="6" t="s">
        <v>414</v>
      </c>
      <c r="C121" s="1" t="s">
        <v>414</v>
      </c>
    </row>
    <row r="122" s="1" customFormat="1" spans="1:3">
      <c r="A122" s="6" t="s">
        <v>415</v>
      </c>
      <c r="B122" s="6" t="s">
        <v>416</v>
      </c>
      <c r="C122" s="1" t="s">
        <v>417</v>
      </c>
    </row>
    <row r="123" s="1" customFormat="1" spans="1:3">
      <c r="A123" s="6" t="s">
        <v>418</v>
      </c>
      <c r="B123" s="6" t="s">
        <v>419</v>
      </c>
      <c r="C123" s="1" t="s">
        <v>420</v>
      </c>
    </row>
    <row r="124" s="1" customFormat="1" spans="1:3">
      <c r="A124" s="6" t="s">
        <v>421</v>
      </c>
      <c r="B124" s="6" t="s">
        <v>422</v>
      </c>
      <c r="C124" s="1" t="s">
        <v>422</v>
      </c>
    </row>
    <row r="125" s="1" customFormat="1" spans="1:3">
      <c r="A125" s="6" t="s">
        <v>423</v>
      </c>
      <c r="B125" s="6" t="s">
        <v>424</v>
      </c>
      <c r="C125" s="1" t="s">
        <v>425</v>
      </c>
    </row>
    <row r="126" s="1" customFormat="1" spans="1:3">
      <c r="A126" s="6" t="s">
        <v>426</v>
      </c>
      <c r="B126" s="6" t="s">
        <v>427</v>
      </c>
      <c r="C126" s="1" t="s">
        <v>428</v>
      </c>
    </row>
    <row r="127" s="1" customFormat="1" spans="1:3">
      <c r="A127" s="6" t="s">
        <v>429</v>
      </c>
      <c r="B127" s="6" t="s">
        <v>430</v>
      </c>
      <c r="C127" s="1" t="s">
        <v>431</v>
      </c>
    </row>
    <row r="128" s="1" customFormat="1" spans="1:3">
      <c r="A128" s="6" t="s">
        <v>432</v>
      </c>
      <c r="B128" s="6" t="s">
        <v>433</v>
      </c>
      <c r="C128" s="1" t="s">
        <v>434</v>
      </c>
    </row>
    <row r="129" s="1" customFormat="1" spans="1:3">
      <c r="A129" s="6" t="s">
        <v>435</v>
      </c>
      <c r="B129" s="6" t="s">
        <v>436</v>
      </c>
      <c r="C129" s="1" t="s">
        <v>437</v>
      </c>
    </row>
    <row r="130" s="1" customFormat="1" spans="1:3">
      <c r="A130" s="6" t="s">
        <v>438</v>
      </c>
      <c r="B130" s="6" t="s">
        <v>439</v>
      </c>
      <c r="C130" s="1" t="s">
        <v>440</v>
      </c>
    </row>
    <row r="131" s="1" customFormat="1" spans="1:3">
      <c r="A131" s="6" t="s">
        <v>441</v>
      </c>
      <c r="B131" s="6" t="s">
        <v>442</v>
      </c>
      <c r="C131" s="1" t="s">
        <v>443</v>
      </c>
    </row>
    <row r="132" s="1" customFormat="1" spans="1:3">
      <c r="A132" s="6" t="s">
        <v>444</v>
      </c>
      <c r="B132" s="6" t="s">
        <v>445</v>
      </c>
      <c r="C132" s="1" t="s">
        <v>446</v>
      </c>
    </row>
    <row r="133" s="1" customFormat="1" spans="1:3">
      <c r="A133" s="6" t="s">
        <v>447</v>
      </c>
      <c r="B133" s="6" t="s">
        <v>448</v>
      </c>
      <c r="C133" s="1" t="s">
        <v>449</v>
      </c>
    </row>
    <row r="134" s="1" customFormat="1" spans="1:3">
      <c r="A134" s="6" t="s">
        <v>450</v>
      </c>
      <c r="B134" s="6" t="s">
        <v>451</v>
      </c>
      <c r="C134" s="1" t="s">
        <v>452</v>
      </c>
    </row>
    <row r="135" s="1" customFormat="1" spans="1:3">
      <c r="A135" s="6" t="s">
        <v>453</v>
      </c>
      <c r="B135" s="6" t="s">
        <v>454</v>
      </c>
      <c r="C135" s="1" t="s">
        <v>455</v>
      </c>
    </row>
    <row r="136" s="1" customFormat="1" spans="1:3">
      <c r="A136" s="6" t="s">
        <v>456</v>
      </c>
      <c r="B136" s="6" t="s">
        <v>457</v>
      </c>
      <c r="C136" s="1" t="s">
        <v>457</v>
      </c>
    </row>
    <row r="137" s="1" customFormat="1" spans="1:3">
      <c r="A137" s="6" t="s">
        <v>458</v>
      </c>
      <c r="B137" s="6" t="s">
        <v>459</v>
      </c>
      <c r="C137" s="1" t="s">
        <v>460</v>
      </c>
    </row>
    <row r="138" s="1" customFormat="1" spans="1:3">
      <c r="A138" s="6" t="s">
        <v>461</v>
      </c>
      <c r="B138" s="6" t="s">
        <v>462</v>
      </c>
      <c r="C138" s="1" t="s">
        <v>463</v>
      </c>
    </row>
    <row r="139" s="1" customFormat="1" spans="1:3">
      <c r="A139" s="6" t="s">
        <v>464</v>
      </c>
      <c r="B139" s="6" t="s">
        <v>465</v>
      </c>
      <c r="C139" s="1" t="s">
        <v>465</v>
      </c>
    </row>
    <row r="140" s="1" customFormat="1" spans="1:3">
      <c r="A140" s="6" t="s">
        <v>466</v>
      </c>
      <c r="B140" s="6" t="s">
        <v>467</v>
      </c>
      <c r="C140" s="1" t="s">
        <v>467</v>
      </c>
    </row>
    <row r="141" s="1" customFormat="1" spans="1:3">
      <c r="A141" s="6" t="s">
        <v>468</v>
      </c>
      <c r="B141" s="6" t="s">
        <v>469</v>
      </c>
      <c r="C141" s="1" t="s">
        <v>470</v>
      </c>
    </row>
    <row r="142" s="1" customFormat="1" spans="1:3">
      <c r="A142" s="6" t="s">
        <v>471</v>
      </c>
      <c r="B142" s="6" t="s">
        <v>472</v>
      </c>
      <c r="C142" s="1" t="s">
        <v>473</v>
      </c>
    </row>
    <row r="143" s="1" customFormat="1" spans="1:3">
      <c r="A143" s="6" t="s">
        <v>474</v>
      </c>
      <c r="B143" s="6" t="s">
        <v>475</v>
      </c>
      <c r="C143" s="1" t="s">
        <v>476</v>
      </c>
    </row>
    <row r="144" s="1" customFormat="1" spans="1:3">
      <c r="A144" s="6" t="s">
        <v>477</v>
      </c>
      <c r="B144" s="6" t="s">
        <v>478</v>
      </c>
      <c r="C144" s="1" t="s">
        <v>478</v>
      </c>
    </row>
    <row r="145" s="1" customFormat="1" spans="1:3">
      <c r="A145" s="6" t="s">
        <v>479</v>
      </c>
      <c r="B145" s="6" t="s">
        <v>480</v>
      </c>
      <c r="C145" s="1" t="s">
        <v>481</v>
      </c>
    </row>
    <row r="146" s="1" customFormat="1" spans="1:3">
      <c r="A146" s="6" t="s">
        <v>482</v>
      </c>
      <c r="B146" s="6" t="s">
        <v>483</v>
      </c>
      <c r="C146" s="1" t="s">
        <v>483</v>
      </c>
    </row>
    <row r="147" s="1" customFormat="1" spans="1:3">
      <c r="A147" s="6" t="s">
        <v>484</v>
      </c>
      <c r="B147" s="6" t="s">
        <v>485</v>
      </c>
      <c r="C147" s="1" t="s">
        <v>486</v>
      </c>
    </row>
    <row r="148" s="1" customFormat="1" spans="1:3">
      <c r="A148" s="6" t="s">
        <v>487</v>
      </c>
      <c r="B148" s="6" t="s">
        <v>488</v>
      </c>
      <c r="C148" s="1" t="s">
        <v>488</v>
      </c>
    </row>
    <row r="149" s="1" customFormat="1" spans="1:3">
      <c r="A149" s="6" t="s">
        <v>489</v>
      </c>
      <c r="B149" s="6" t="s">
        <v>490</v>
      </c>
      <c r="C149" s="1" t="s">
        <v>490</v>
      </c>
    </row>
    <row r="150" s="1" customFormat="1" spans="1:3">
      <c r="A150" s="6" t="s">
        <v>491</v>
      </c>
      <c r="B150" s="6" t="s">
        <v>492</v>
      </c>
      <c r="C150" s="1" t="s">
        <v>492</v>
      </c>
    </row>
    <row r="151" s="1" customFormat="1" spans="1:3">
      <c r="A151" s="6" t="s">
        <v>493</v>
      </c>
      <c r="B151" s="6" t="s">
        <v>494</v>
      </c>
      <c r="C151" s="1" t="s">
        <v>494</v>
      </c>
    </row>
    <row r="152" s="1" customFormat="1" spans="1:3">
      <c r="A152" s="6" t="s">
        <v>495</v>
      </c>
      <c r="B152" s="6" t="s">
        <v>496</v>
      </c>
      <c r="C152" s="1" t="s">
        <v>496</v>
      </c>
    </row>
    <row r="153" s="1" customFormat="1" spans="1:3">
      <c r="A153" s="6" t="s">
        <v>497</v>
      </c>
      <c r="B153" s="6" t="s">
        <v>498</v>
      </c>
      <c r="C153" s="1" t="s">
        <v>499</v>
      </c>
    </row>
    <row r="154" s="1" customFormat="1" spans="1:3">
      <c r="A154" s="6" t="s">
        <v>500</v>
      </c>
      <c r="B154" s="6" t="s">
        <v>501</v>
      </c>
      <c r="C154" s="1" t="s">
        <v>502</v>
      </c>
    </row>
    <row r="155" s="1" customFormat="1" spans="1:3">
      <c r="A155" s="6" t="s">
        <v>503</v>
      </c>
      <c r="B155" s="6" t="s">
        <v>504</v>
      </c>
      <c r="C155" s="1" t="s">
        <v>504</v>
      </c>
    </row>
    <row r="156" s="1" customFormat="1" spans="1:3">
      <c r="A156" s="6" t="s">
        <v>505</v>
      </c>
      <c r="B156" s="6" t="s">
        <v>506</v>
      </c>
      <c r="C156" s="1" t="s">
        <v>507</v>
      </c>
    </row>
    <row r="157" s="1" customFormat="1" spans="1:3">
      <c r="A157" s="6" t="s">
        <v>508</v>
      </c>
      <c r="B157" s="6" t="s">
        <v>509</v>
      </c>
      <c r="C157" s="1" t="s">
        <v>509</v>
      </c>
    </row>
    <row r="158" s="1" customFormat="1" spans="1:3">
      <c r="A158" s="6" t="s">
        <v>510</v>
      </c>
      <c r="B158" s="6" t="s">
        <v>511</v>
      </c>
      <c r="C158" s="1" t="s">
        <v>511</v>
      </c>
    </row>
    <row r="159" s="1" customFormat="1" spans="1:3">
      <c r="A159" s="6" t="s">
        <v>512</v>
      </c>
      <c r="B159" s="6" t="s">
        <v>513</v>
      </c>
      <c r="C159" s="1" t="s">
        <v>513</v>
      </c>
    </row>
    <row r="160" s="1" customFormat="1" spans="1:3">
      <c r="A160" s="6" t="s">
        <v>514</v>
      </c>
      <c r="B160" s="6" t="s">
        <v>515</v>
      </c>
      <c r="C160" s="1" t="s">
        <v>516</v>
      </c>
    </row>
    <row r="161" s="1" customFormat="1" spans="1:3">
      <c r="A161" s="6" t="s">
        <v>517</v>
      </c>
      <c r="B161" s="6" t="s">
        <v>518</v>
      </c>
      <c r="C161" s="1" t="s">
        <v>518</v>
      </c>
    </row>
    <row r="162" s="1" customFormat="1" spans="1:3">
      <c r="A162" s="6" t="s">
        <v>519</v>
      </c>
      <c r="B162" s="6" t="s">
        <v>520</v>
      </c>
      <c r="C162" s="1" t="s">
        <v>521</v>
      </c>
    </row>
    <row r="163" s="1" customFormat="1" spans="1:3">
      <c r="A163" s="6" t="s">
        <v>522</v>
      </c>
      <c r="B163" s="6" t="s">
        <v>523</v>
      </c>
      <c r="C163" s="1" t="s">
        <v>524</v>
      </c>
    </row>
    <row r="164" s="1" customFormat="1" spans="1:3">
      <c r="A164" s="6" t="s">
        <v>525</v>
      </c>
      <c r="B164" s="6" t="s">
        <v>526</v>
      </c>
      <c r="C164" s="1" t="s">
        <v>526</v>
      </c>
    </row>
    <row r="165" s="1" customFormat="1" spans="1:3">
      <c r="A165" s="6" t="s">
        <v>527</v>
      </c>
      <c r="B165" s="6" t="s">
        <v>528</v>
      </c>
      <c r="C165" s="1" t="s">
        <v>528</v>
      </c>
    </row>
    <row r="166" s="1" customFormat="1" spans="1:3">
      <c r="A166" s="6" t="s">
        <v>529</v>
      </c>
      <c r="B166" s="6" t="s">
        <v>530</v>
      </c>
      <c r="C166" s="1" t="s">
        <v>531</v>
      </c>
    </row>
    <row r="167" s="1" customFormat="1" spans="1:3">
      <c r="A167" s="6" t="s">
        <v>532</v>
      </c>
      <c r="B167" s="6" t="s">
        <v>533</v>
      </c>
      <c r="C167" s="1" t="s">
        <v>533</v>
      </c>
    </row>
    <row r="168" s="1" customFormat="1" spans="1:3">
      <c r="A168" s="6" t="s">
        <v>534</v>
      </c>
      <c r="B168" s="6" t="s">
        <v>535</v>
      </c>
      <c r="C168" s="1" t="s">
        <v>536</v>
      </c>
    </row>
    <row r="169" s="1" customFormat="1" spans="1:3">
      <c r="A169" s="6" t="s">
        <v>537</v>
      </c>
      <c r="B169" s="6" t="s">
        <v>538</v>
      </c>
      <c r="C169" s="1" t="s">
        <v>539</v>
      </c>
    </row>
    <row r="170" s="1" customFormat="1" spans="1:3">
      <c r="A170" s="6" t="s">
        <v>540</v>
      </c>
      <c r="B170" s="6" t="s">
        <v>541</v>
      </c>
      <c r="C170" s="1" t="s">
        <v>542</v>
      </c>
    </row>
    <row r="171" s="1" customFormat="1" spans="1:3">
      <c r="A171" s="6" t="s">
        <v>543</v>
      </c>
      <c r="B171" s="6" t="s">
        <v>544</v>
      </c>
      <c r="C171" s="1" t="s">
        <v>545</v>
      </c>
    </row>
    <row r="172" s="1" customFormat="1" spans="1:3">
      <c r="A172" s="6" t="s">
        <v>546</v>
      </c>
      <c r="B172" s="6" t="s">
        <v>547</v>
      </c>
      <c r="C172" s="1" t="s">
        <v>548</v>
      </c>
    </row>
    <row r="173" s="1" customFormat="1" spans="1:3">
      <c r="A173" s="6" t="s">
        <v>549</v>
      </c>
      <c r="B173" s="6" t="s">
        <v>550</v>
      </c>
      <c r="C173" s="1" t="s">
        <v>550</v>
      </c>
    </row>
    <row r="174" s="1" customFormat="1" spans="1:3">
      <c r="A174" s="6" t="s">
        <v>551</v>
      </c>
      <c r="B174" s="6" t="s">
        <v>552</v>
      </c>
      <c r="C174" s="1" t="s">
        <v>553</v>
      </c>
    </row>
    <row r="175" s="1" customFormat="1" spans="1:3">
      <c r="A175" s="6" t="s">
        <v>554</v>
      </c>
      <c r="B175" s="6" t="s">
        <v>555</v>
      </c>
      <c r="C175" s="1" t="s">
        <v>556</v>
      </c>
    </row>
    <row r="176" s="1" customFormat="1" spans="1:3">
      <c r="A176" s="6" t="s">
        <v>557</v>
      </c>
      <c r="B176" s="6" t="s">
        <v>558</v>
      </c>
      <c r="C176" s="1" t="s">
        <v>559</v>
      </c>
    </row>
    <row r="177" s="1" customFormat="1" spans="1:3">
      <c r="A177" s="6" t="s">
        <v>560</v>
      </c>
      <c r="B177" s="6" t="s">
        <v>561</v>
      </c>
      <c r="C177" s="1" t="s">
        <v>561</v>
      </c>
    </row>
    <row r="178" s="1" customFormat="1" spans="1:3">
      <c r="A178" s="6" t="s">
        <v>562</v>
      </c>
      <c r="B178" s="6" t="s">
        <v>563</v>
      </c>
      <c r="C178" s="1" t="s">
        <v>564</v>
      </c>
    </row>
    <row r="179" s="1" customFormat="1" spans="1:3">
      <c r="A179" s="6" t="s">
        <v>565</v>
      </c>
      <c r="B179" s="6" t="s">
        <v>566</v>
      </c>
      <c r="C179" s="1" t="s">
        <v>567</v>
      </c>
    </row>
    <row r="180" s="1" customFormat="1" spans="1:3">
      <c r="A180" s="6" t="s">
        <v>568</v>
      </c>
      <c r="B180" s="6" t="s">
        <v>569</v>
      </c>
      <c r="C180" s="1" t="s">
        <v>570</v>
      </c>
    </row>
    <row r="181" s="1" customFormat="1" spans="1:3">
      <c r="A181" s="6" t="s">
        <v>571</v>
      </c>
      <c r="B181" s="6" t="s">
        <v>572</v>
      </c>
      <c r="C181" s="1" t="s">
        <v>573</v>
      </c>
    </row>
    <row r="182" s="1" customFormat="1" spans="1:3">
      <c r="A182" s="6" t="s">
        <v>574</v>
      </c>
      <c r="B182" s="6" t="s">
        <v>575</v>
      </c>
      <c r="C182" s="1" t="s">
        <v>576</v>
      </c>
    </row>
    <row r="183" s="1" customFormat="1" spans="1:3">
      <c r="A183" s="6" t="s">
        <v>577</v>
      </c>
      <c r="B183" s="6" t="s">
        <v>578</v>
      </c>
      <c r="C183" s="1" t="s">
        <v>579</v>
      </c>
    </row>
    <row r="184" s="1" customFormat="1" spans="1:3">
      <c r="A184" s="6" t="s">
        <v>580</v>
      </c>
      <c r="B184" s="6" t="s">
        <v>581</v>
      </c>
      <c r="C184" s="1" t="s">
        <v>581</v>
      </c>
    </row>
    <row r="185" s="1" customFormat="1" spans="1:3">
      <c r="A185" s="6" t="s">
        <v>582</v>
      </c>
      <c r="B185" s="6" t="s">
        <v>583</v>
      </c>
      <c r="C185" s="1" t="s">
        <v>583</v>
      </c>
    </row>
    <row r="186" s="1" customFormat="1" spans="1:3">
      <c r="A186" s="6" t="s">
        <v>584</v>
      </c>
      <c r="B186" s="6" t="s">
        <v>585</v>
      </c>
      <c r="C186" s="1" t="s">
        <v>585</v>
      </c>
    </row>
    <row r="187" s="1" customFormat="1" spans="1:3">
      <c r="A187" s="6" t="s">
        <v>586</v>
      </c>
      <c r="B187" s="6" t="s">
        <v>587</v>
      </c>
      <c r="C187" s="1" t="s">
        <v>587</v>
      </c>
    </row>
    <row r="188" s="1" customFormat="1" spans="1:3">
      <c r="A188" s="6" t="s">
        <v>588</v>
      </c>
      <c r="B188" s="6" t="s">
        <v>589</v>
      </c>
      <c r="C188" s="1" t="s">
        <v>589</v>
      </c>
    </row>
    <row r="189" s="1" customFormat="1" spans="1:3">
      <c r="A189" s="6" t="s">
        <v>590</v>
      </c>
      <c r="B189" s="6" t="s">
        <v>591</v>
      </c>
      <c r="C189" s="1" t="s">
        <v>591</v>
      </c>
    </row>
    <row r="190" s="1" customFormat="1" spans="1:3">
      <c r="A190" s="6" t="s">
        <v>592</v>
      </c>
      <c r="B190" s="6" t="s">
        <v>593</v>
      </c>
      <c r="C190" s="1" t="s">
        <v>593</v>
      </c>
    </row>
    <row r="191" s="1" customFormat="1" spans="1:3">
      <c r="A191" s="6" t="s">
        <v>594</v>
      </c>
      <c r="B191" s="6" t="s">
        <v>595</v>
      </c>
      <c r="C191" s="1" t="s">
        <v>595</v>
      </c>
    </row>
    <row r="192" s="1" customFormat="1" spans="1:3">
      <c r="A192" s="6" t="s">
        <v>596</v>
      </c>
      <c r="B192" s="6" t="s">
        <v>597</v>
      </c>
      <c r="C192" s="1" t="s">
        <v>597</v>
      </c>
    </row>
    <row r="193" s="1" customFormat="1" spans="1:3">
      <c r="A193" s="6" t="s">
        <v>598</v>
      </c>
      <c r="B193" s="6" t="s">
        <v>599</v>
      </c>
      <c r="C193" s="1" t="s">
        <v>599</v>
      </c>
    </row>
    <row r="194" s="1" customFormat="1" spans="1:3">
      <c r="A194" s="6" t="s">
        <v>600</v>
      </c>
      <c r="B194" s="6" t="s">
        <v>601</v>
      </c>
      <c r="C194" s="1" t="s">
        <v>602</v>
      </c>
    </row>
    <row r="195" s="1" customFormat="1" spans="1:3">
      <c r="A195" s="6" t="s">
        <v>603</v>
      </c>
      <c r="B195" s="6" t="s">
        <v>604</v>
      </c>
      <c r="C195" s="1" t="s">
        <v>604</v>
      </c>
    </row>
    <row r="196" s="1" customFormat="1" spans="1:3">
      <c r="A196" s="6" t="s">
        <v>605</v>
      </c>
      <c r="B196" s="6" t="s">
        <v>606</v>
      </c>
      <c r="C196" s="1" t="s">
        <v>607</v>
      </c>
    </row>
    <row r="197" s="1" customFormat="1" spans="1:3">
      <c r="A197" s="6" t="s">
        <v>608</v>
      </c>
      <c r="B197" s="6" t="s">
        <v>609</v>
      </c>
      <c r="C197" s="1" t="s">
        <v>609</v>
      </c>
    </row>
    <row r="198" s="1" customFormat="1" spans="1:3">
      <c r="A198" s="6" t="s">
        <v>610</v>
      </c>
      <c r="B198" s="6" t="s">
        <v>611</v>
      </c>
      <c r="C198" s="1" t="s">
        <v>612</v>
      </c>
    </row>
    <row r="199" s="1" customFormat="1" spans="1:3">
      <c r="A199" s="6" t="s">
        <v>613</v>
      </c>
      <c r="B199" s="6" t="s">
        <v>614</v>
      </c>
      <c r="C199" s="1" t="s">
        <v>615</v>
      </c>
    </row>
    <row r="200" s="1" customFormat="1" spans="1:3">
      <c r="A200" s="6" t="s">
        <v>616</v>
      </c>
      <c r="B200" s="6" t="s">
        <v>617</v>
      </c>
      <c r="C200" s="1" t="s">
        <v>617</v>
      </c>
    </row>
    <row r="201" s="1" customFormat="1" spans="1:3">
      <c r="A201" s="6" t="s">
        <v>618</v>
      </c>
      <c r="B201" s="6" t="s">
        <v>619</v>
      </c>
      <c r="C201" s="1" t="s">
        <v>620</v>
      </c>
    </row>
    <row r="202" s="1" customFormat="1" spans="1:3">
      <c r="A202" s="6" t="s">
        <v>621</v>
      </c>
      <c r="B202" s="6" t="s">
        <v>622</v>
      </c>
      <c r="C202" s="1" t="s">
        <v>622</v>
      </c>
    </row>
    <row r="203" s="1" customFormat="1" spans="1:3">
      <c r="A203" s="6" t="s">
        <v>623</v>
      </c>
      <c r="B203" s="6" t="s">
        <v>624</v>
      </c>
      <c r="C203" s="1" t="s">
        <v>624</v>
      </c>
    </row>
    <row r="204" s="1" customFormat="1" spans="1:3">
      <c r="A204" s="6" t="s">
        <v>625</v>
      </c>
      <c r="B204" s="6" t="s">
        <v>626</v>
      </c>
      <c r="C204" s="1" t="s">
        <v>627</v>
      </c>
    </row>
    <row r="205" s="1" customFormat="1" spans="1:3">
      <c r="A205" s="6" t="s">
        <v>628</v>
      </c>
      <c r="B205" s="6" t="s">
        <v>629</v>
      </c>
      <c r="C205" s="1" t="s">
        <v>629</v>
      </c>
    </row>
    <row r="206" s="1" customFormat="1" spans="1:3">
      <c r="A206" s="6" t="s">
        <v>630</v>
      </c>
      <c r="B206" s="6" t="s">
        <v>631</v>
      </c>
      <c r="C206" s="1" t="s">
        <v>632</v>
      </c>
    </row>
    <row r="207" s="1" customFormat="1" spans="1:3">
      <c r="A207" s="6" t="s">
        <v>633</v>
      </c>
      <c r="B207" s="6" t="s">
        <v>634</v>
      </c>
      <c r="C207" s="1" t="s">
        <v>635</v>
      </c>
    </row>
    <row r="208" s="1" customFormat="1" spans="1:3">
      <c r="A208" s="6" t="s">
        <v>636</v>
      </c>
      <c r="B208" s="6" t="s">
        <v>637</v>
      </c>
      <c r="C208" s="1" t="s">
        <v>637</v>
      </c>
    </row>
    <row r="209" s="1" customFormat="1" spans="1:3">
      <c r="A209" s="6" t="s">
        <v>638</v>
      </c>
      <c r="B209" s="6" t="s">
        <v>639</v>
      </c>
      <c r="C209" s="1" t="s">
        <v>639</v>
      </c>
    </row>
    <row r="210" s="1" customFormat="1" spans="1:3">
      <c r="A210" s="6" t="s">
        <v>640</v>
      </c>
      <c r="B210" s="6" t="s">
        <v>641</v>
      </c>
      <c r="C210" s="1" t="s">
        <v>641</v>
      </c>
    </row>
    <row r="211" s="1" customFormat="1" spans="1:3">
      <c r="A211" s="6" t="s">
        <v>642</v>
      </c>
      <c r="B211" s="6" t="s">
        <v>643</v>
      </c>
      <c r="C211" s="1" t="s">
        <v>643</v>
      </c>
    </row>
    <row r="212" s="1" customFormat="1" spans="1:3">
      <c r="A212" s="6" t="s">
        <v>644</v>
      </c>
      <c r="B212" s="6" t="s">
        <v>645</v>
      </c>
      <c r="C212" s="1" t="s">
        <v>645</v>
      </c>
    </row>
    <row r="213" s="1" customFormat="1" spans="1:3">
      <c r="A213" s="6" t="s">
        <v>646</v>
      </c>
      <c r="B213" s="6" t="s">
        <v>647</v>
      </c>
      <c r="C213" s="1" t="s">
        <v>647</v>
      </c>
    </row>
    <row r="214" s="1" customFormat="1" spans="1:3">
      <c r="A214" s="6" t="s">
        <v>648</v>
      </c>
      <c r="B214" s="6" t="s">
        <v>649</v>
      </c>
      <c r="C214" s="1" t="s">
        <v>649</v>
      </c>
    </row>
    <row r="215" s="1" customFormat="1" spans="1:3">
      <c r="A215" s="6" t="s">
        <v>650</v>
      </c>
      <c r="B215" s="6" t="s">
        <v>651</v>
      </c>
      <c r="C215" s="1" t="s">
        <v>651</v>
      </c>
    </row>
    <row r="216" s="1" customFormat="1" spans="1:3">
      <c r="A216" s="6" t="s">
        <v>652</v>
      </c>
      <c r="B216" s="6" t="s">
        <v>653</v>
      </c>
      <c r="C216" s="1" t="s">
        <v>653</v>
      </c>
    </row>
    <row r="217" s="1" customFormat="1" spans="1:3">
      <c r="A217" s="6" t="s">
        <v>654</v>
      </c>
      <c r="B217" s="6" t="s">
        <v>655</v>
      </c>
      <c r="C217" s="1" t="s">
        <v>655</v>
      </c>
    </row>
    <row r="218" s="1" customFormat="1" spans="1:3">
      <c r="A218" s="6" t="s">
        <v>656</v>
      </c>
      <c r="B218" s="6" t="s">
        <v>657</v>
      </c>
      <c r="C218" s="1" t="s">
        <v>657</v>
      </c>
    </row>
    <row r="219" s="1" customFormat="1" spans="1:3">
      <c r="A219" s="6" t="s">
        <v>658</v>
      </c>
      <c r="B219" s="6" t="s">
        <v>659</v>
      </c>
      <c r="C219" s="1" t="s">
        <v>659</v>
      </c>
    </row>
    <row r="220" s="1" customFormat="1" spans="1:3">
      <c r="A220" s="6" t="s">
        <v>660</v>
      </c>
      <c r="B220" s="6" t="s">
        <v>661</v>
      </c>
      <c r="C220" s="1" t="s">
        <v>661</v>
      </c>
    </row>
    <row r="221" s="1" customFormat="1" spans="1:3">
      <c r="A221" s="6" t="s">
        <v>662</v>
      </c>
      <c r="B221" s="6" t="s">
        <v>663</v>
      </c>
      <c r="C221" s="1" t="s">
        <v>663</v>
      </c>
    </row>
    <row r="222" s="1" customFormat="1" spans="1:3">
      <c r="A222" s="6" t="s">
        <v>664</v>
      </c>
      <c r="B222" s="6" t="s">
        <v>665</v>
      </c>
      <c r="C222" s="1" t="s">
        <v>665</v>
      </c>
    </row>
    <row r="223" s="1" customFormat="1" spans="1:3">
      <c r="A223" s="6" t="s">
        <v>666</v>
      </c>
      <c r="B223" s="6" t="s">
        <v>667</v>
      </c>
      <c r="C223" s="1" t="s">
        <v>667</v>
      </c>
    </row>
    <row r="224" s="1" customFormat="1" spans="1:3">
      <c r="A224" s="6" t="s">
        <v>668</v>
      </c>
      <c r="B224" s="6" t="s">
        <v>669</v>
      </c>
      <c r="C224" s="1" t="s">
        <v>669</v>
      </c>
    </row>
    <row r="225" s="1" customFormat="1" spans="1:3">
      <c r="A225" s="6" t="s">
        <v>670</v>
      </c>
      <c r="B225" s="6" t="s">
        <v>671</v>
      </c>
      <c r="C225" s="1" t="s">
        <v>671</v>
      </c>
    </row>
    <row r="226" s="1" customFormat="1" spans="1:3">
      <c r="A226" s="6" t="s">
        <v>672</v>
      </c>
      <c r="B226" s="6" t="s">
        <v>673</v>
      </c>
      <c r="C226" s="1" t="s">
        <v>673</v>
      </c>
    </row>
    <row r="227" s="1" customFormat="1" spans="1:3">
      <c r="A227" s="6" t="s">
        <v>674</v>
      </c>
      <c r="B227" s="6" t="s">
        <v>675</v>
      </c>
      <c r="C227" s="1" t="s">
        <v>675</v>
      </c>
    </row>
    <row r="228" s="1" customFormat="1" spans="1:3">
      <c r="A228" s="6" t="s">
        <v>676</v>
      </c>
      <c r="B228" s="6" t="s">
        <v>677</v>
      </c>
      <c r="C228" s="1" t="s">
        <v>677</v>
      </c>
    </row>
    <row r="229" s="1" customFormat="1" spans="1:3">
      <c r="A229" s="6" t="s">
        <v>678</v>
      </c>
      <c r="B229" s="6" t="s">
        <v>679</v>
      </c>
      <c r="C229" s="1" t="s">
        <v>680</v>
      </c>
    </row>
    <row r="230" s="1" customFormat="1" spans="1:3">
      <c r="A230" s="6" t="s">
        <v>681</v>
      </c>
      <c r="B230" s="6" t="s">
        <v>682</v>
      </c>
      <c r="C230" s="1" t="s">
        <v>683</v>
      </c>
    </row>
    <row r="231" s="1" customFormat="1" spans="1:3">
      <c r="A231" s="6" t="s">
        <v>684</v>
      </c>
      <c r="B231" s="6" t="s">
        <v>685</v>
      </c>
      <c r="C231" s="1" t="s">
        <v>686</v>
      </c>
    </row>
    <row r="232" s="1" customFormat="1" spans="1:3">
      <c r="A232" s="6" t="s">
        <v>687</v>
      </c>
      <c r="B232" s="6" t="s">
        <v>688</v>
      </c>
      <c r="C232" s="1" t="s">
        <v>688</v>
      </c>
    </row>
    <row r="233" s="1" customFormat="1" spans="1:3">
      <c r="A233" s="6" t="s">
        <v>689</v>
      </c>
      <c r="B233" s="6" t="s">
        <v>690</v>
      </c>
      <c r="C233" s="1" t="s">
        <v>690</v>
      </c>
    </row>
    <row r="234" s="1" customFormat="1" spans="1:3">
      <c r="A234" s="6" t="s">
        <v>691</v>
      </c>
      <c r="B234" s="6" t="s">
        <v>692</v>
      </c>
      <c r="C234" s="1" t="s">
        <v>692</v>
      </c>
    </row>
    <row r="235" s="1" customFormat="1" spans="1:3">
      <c r="A235" s="6" t="s">
        <v>693</v>
      </c>
      <c r="B235" s="6" t="s">
        <v>694</v>
      </c>
      <c r="C235" s="1" t="s">
        <v>694</v>
      </c>
    </row>
    <row r="236" s="1" customFormat="1" spans="1:3">
      <c r="A236" s="6" t="s">
        <v>695</v>
      </c>
      <c r="B236" s="6" t="s">
        <v>696</v>
      </c>
      <c r="C236" s="1" t="s">
        <v>696</v>
      </c>
    </row>
    <row r="237" s="1" customFormat="1" spans="1:3">
      <c r="A237" s="6" t="s">
        <v>697</v>
      </c>
      <c r="B237" s="6" t="s">
        <v>698</v>
      </c>
      <c r="C237" s="1" t="s">
        <v>698</v>
      </c>
    </row>
    <row r="238" s="1" customFormat="1" spans="1:3">
      <c r="A238" s="6" t="s">
        <v>699</v>
      </c>
      <c r="B238" s="6" t="s">
        <v>700</v>
      </c>
      <c r="C238" s="1" t="s">
        <v>700</v>
      </c>
    </row>
    <row r="239" s="1" customFormat="1" spans="1:3">
      <c r="A239" s="6" t="s">
        <v>701</v>
      </c>
      <c r="B239" s="6" t="s">
        <v>702</v>
      </c>
      <c r="C239" s="1" t="s">
        <v>702</v>
      </c>
    </row>
    <row r="240" s="1" customFormat="1" spans="1:3">
      <c r="A240" s="6" t="s">
        <v>703</v>
      </c>
      <c r="B240" s="6" t="s">
        <v>704</v>
      </c>
      <c r="C240" s="1" t="s">
        <v>704</v>
      </c>
    </row>
    <row r="241" s="1" customFormat="1" spans="1:3">
      <c r="A241" s="6" t="s">
        <v>705</v>
      </c>
      <c r="B241" s="6" t="s">
        <v>706</v>
      </c>
      <c r="C241" s="1" t="s">
        <v>706</v>
      </c>
    </row>
    <row r="242" s="1" customFormat="1" spans="1:3">
      <c r="A242" s="6" t="s">
        <v>707</v>
      </c>
      <c r="B242" s="6" t="s">
        <v>708</v>
      </c>
      <c r="C242" s="1" t="s">
        <v>708</v>
      </c>
    </row>
    <row r="243" s="1" customFormat="1" spans="1:3">
      <c r="A243" s="6" t="s">
        <v>709</v>
      </c>
      <c r="B243" s="6" t="s">
        <v>710</v>
      </c>
      <c r="C243" s="1" t="s">
        <v>710</v>
      </c>
    </row>
    <row r="244" s="1" customFormat="1" spans="1:3">
      <c r="A244" s="6" t="s">
        <v>711</v>
      </c>
      <c r="B244" s="6" t="s">
        <v>712</v>
      </c>
      <c r="C244" s="1" t="s">
        <v>712</v>
      </c>
    </row>
    <row r="245" s="1" customFormat="1" spans="1:3">
      <c r="A245" s="6" t="s">
        <v>713</v>
      </c>
      <c r="B245" s="6" t="s">
        <v>714</v>
      </c>
      <c r="C245" s="1" t="s">
        <v>714</v>
      </c>
    </row>
    <row r="246" s="1" customFormat="1" spans="1:3">
      <c r="A246" s="6" t="s">
        <v>715</v>
      </c>
      <c r="B246" s="6" t="s">
        <v>716</v>
      </c>
      <c r="C246" s="1" t="s">
        <v>716</v>
      </c>
    </row>
    <row r="247" s="1" customFormat="1" spans="1:3">
      <c r="A247" s="6" t="s">
        <v>717</v>
      </c>
      <c r="B247" s="6" t="s">
        <v>718</v>
      </c>
      <c r="C247" s="1" t="s">
        <v>718</v>
      </c>
    </row>
    <row r="248" s="1" customFormat="1" spans="1:3">
      <c r="A248" s="6" t="s">
        <v>719</v>
      </c>
      <c r="B248" s="6" t="s">
        <v>720</v>
      </c>
      <c r="C248" s="1" t="s">
        <v>720</v>
      </c>
    </row>
    <row r="249" s="1" customFormat="1" spans="1:3">
      <c r="A249" s="6" t="s">
        <v>721</v>
      </c>
      <c r="B249" s="6" t="s">
        <v>722</v>
      </c>
      <c r="C249" s="1" t="s">
        <v>722</v>
      </c>
    </row>
    <row r="250" s="1" customFormat="1" spans="1:3">
      <c r="A250" s="6" t="s">
        <v>723</v>
      </c>
      <c r="B250" s="6" t="s">
        <v>724</v>
      </c>
      <c r="C250" s="1" t="s">
        <v>724</v>
      </c>
    </row>
    <row r="251" s="1" customFormat="1" spans="1:3">
      <c r="A251" s="6" t="s">
        <v>725</v>
      </c>
      <c r="B251" s="6" t="s">
        <v>726</v>
      </c>
      <c r="C251" s="1" t="s">
        <v>726</v>
      </c>
    </row>
    <row r="252" s="1" customFormat="1" spans="1:3">
      <c r="A252" s="6" t="s">
        <v>727</v>
      </c>
      <c r="B252" s="6" t="s">
        <v>728</v>
      </c>
      <c r="C252" s="1" t="s">
        <v>728</v>
      </c>
    </row>
    <row r="253" s="1" customFormat="1" spans="1:3">
      <c r="A253" s="6" t="s">
        <v>729</v>
      </c>
      <c r="B253" s="6" t="s">
        <v>730</v>
      </c>
      <c r="C253" s="1" t="s">
        <v>730</v>
      </c>
    </row>
    <row r="254" s="1" customFormat="1" spans="1:3">
      <c r="A254" s="6" t="s">
        <v>731</v>
      </c>
      <c r="B254" s="6" t="s">
        <v>732</v>
      </c>
      <c r="C254" s="1" t="s">
        <v>732</v>
      </c>
    </row>
    <row r="255" s="1" customFormat="1" spans="1:3">
      <c r="A255" s="6" t="s">
        <v>733</v>
      </c>
      <c r="B255" s="6" t="s">
        <v>734</v>
      </c>
      <c r="C255" s="1" t="s">
        <v>734</v>
      </c>
    </row>
    <row r="256" s="1" customFormat="1" spans="1:3">
      <c r="A256" s="6" t="s">
        <v>735</v>
      </c>
      <c r="B256" s="6" t="s">
        <v>736</v>
      </c>
      <c r="C256" s="1" t="s">
        <v>736</v>
      </c>
    </row>
    <row r="257" s="1" customFormat="1" spans="1:3">
      <c r="A257" s="6" t="s">
        <v>737</v>
      </c>
      <c r="B257" s="6" t="s">
        <v>738</v>
      </c>
      <c r="C257" s="1" t="s">
        <v>739</v>
      </c>
    </row>
    <row r="258" s="1" customFormat="1" spans="1:3">
      <c r="A258" s="6" t="s">
        <v>740</v>
      </c>
      <c r="B258" s="6" t="s">
        <v>741</v>
      </c>
      <c r="C258" s="1" t="s">
        <v>742</v>
      </c>
    </row>
    <row r="259" s="1" customFormat="1" spans="1:3">
      <c r="A259" s="6" t="s">
        <v>743</v>
      </c>
      <c r="B259" s="6" t="s">
        <v>744</v>
      </c>
      <c r="C259" s="1" t="s">
        <v>745</v>
      </c>
    </row>
    <row r="260" s="1" customFormat="1" spans="1:3">
      <c r="A260" s="6" t="s">
        <v>746</v>
      </c>
      <c r="B260" s="6" t="s">
        <v>747</v>
      </c>
      <c r="C260" s="1" t="s">
        <v>747</v>
      </c>
    </row>
    <row r="261" s="1" customFormat="1" spans="1:3">
      <c r="A261" s="6" t="s">
        <v>748</v>
      </c>
      <c r="B261" s="6" t="s">
        <v>749</v>
      </c>
      <c r="C261" s="1" t="s">
        <v>749</v>
      </c>
    </row>
    <row r="262" s="1" customFormat="1" spans="1:3">
      <c r="A262" s="6" t="s">
        <v>750</v>
      </c>
      <c r="B262" s="6" t="s">
        <v>751</v>
      </c>
      <c r="C262" s="1" t="s">
        <v>751</v>
      </c>
    </row>
    <row r="263" s="1" customFormat="1" spans="1:3">
      <c r="A263" s="6" t="s">
        <v>752</v>
      </c>
      <c r="B263" s="6" t="s">
        <v>753</v>
      </c>
      <c r="C263" s="1" t="s">
        <v>754</v>
      </c>
    </row>
    <row r="264" s="1" customFormat="1" spans="1:3">
      <c r="A264" s="6" t="s">
        <v>755</v>
      </c>
      <c r="B264" s="6" t="s">
        <v>756</v>
      </c>
      <c r="C264" s="1" t="s">
        <v>756</v>
      </c>
    </row>
    <row r="265" s="1" customFormat="1" spans="1:3">
      <c r="A265" s="6" t="s">
        <v>757</v>
      </c>
      <c r="B265" s="6" t="s">
        <v>758</v>
      </c>
      <c r="C265" s="1" t="s">
        <v>759</v>
      </c>
    </row>
    <row r="266" s="1" customFormat="1" spans="1:3">
      <c r="A266" s="6" t="s">
        <v>760</v>
      </c>
      <c r="B266" s="6" t="s">
        <v>761</v>
      </c>
      <c r="C266" s="1" t="s">
        <v>761</v>
      </c>
    </row>
    <row r="267" s="1" customFormat="1" spans="1:3">
      <c r="A267" s="6" t="s">
        <v>762</v>
      </c>
      <c r="B267" s="6" t="s">
        <v>763</v>
      </c>
      <c r="C267" s="1" t="s">
        <v>763</v>
      </c>
    </row>
    <row r="268" s="1" customFormat="1" spans="1:3">
      <c r="A268" s="6" t="s">
        <v>764</v>
      </c>
      <c r="B268" s="6" t="s">
        <v>765</v>
      </c>
      <c r="C268" s="1" t="s">
        <v>765</v>
      </c>
    </row>
    <row r="269" s="1" customFormat="1" spans="1:3">
      <c r="A269" s="6" t="s">
        <v>766</v>
      </c>
      <c r="B269" s="6" t="s">
        <v>767</v>
      </c>
      <c r="C269" s="1" t="s">
        <v>767</v>
      </c>
    </row>
    <row r="270" s="1" customFormat="1" spans="1:3">
      <c r="A270" s="6" t="s">
        <v>768</v>
      </c>
      <c r="B270" s="6" t="s">
        <v>769</v>
      </c>
      <c r="C270" s="1" t="s">
        <v>770</v>
      </c>
    </row>
    <row r="271" s="1" customFormat="1" spans="1:3">
      <c r="A271" s="6" t="s">
        <v>771</v>
      </c>
      <c r="B271" s="6" t="s">
        <v>772</v>
      </c>
      <c r="C271" s="1" t="s">
        <v>772</v>
      </c>
    </row>
    <row r="272" s="1" customFormat="1" spans="1:3">
      <c r="A272" s="6" t="s">
        <v>773</v>
      </c>
      <c r="B272" s="6" t="s">
        <v>774</v>
      </c>
      <c r="C272" s="1" t="s">
        <v>774</v>
      </c>
    </row>
    <row r="273" s="1" customFormat="1" spans="1:3">
      <c r="A273" s="6" t="s">
        <v>775</v>
      </c>
      <c r="B273" s="6" t="s">
        <v>776</v>
      </c>
      <c r="C273" s="1" t="s">
        <v>776</v>
      </c>
    </row>
    <row r="274" s="1" customFormat="1" spans="1:3">
      <c r="A274" s="6" t="s">
        <v>777</v>
      </c>
      <c r="B274" s="6" t="s">
        <v>778</v>
      </c>
      <c r="C274" s="1" t="s">
        <v>778</v>
      </c>
    </row>
    <row r="275" s="1" customFormat="1" spans="1:3">
      <c r="A275" s="6" t="s">
        <v>779</v>
      </c>
      <c r="B275" s="6" t="s">
        <v>780</v>
      </c>
      <c r="C275" s="1" t="s">
        <v>780</v>
      </c>
    </row>
    <row r="276" s="1" customFormat="1" spans="1:3">
      <c r="A276" s="6" t="s">
        <v>781</v>
      </c>
      <c r="B276" s="6" t="s">
        <v>782</v>
      </c>
      <c r="C276" s="1" t="s">
        <v>782</v>
      </c>
    </row>
    <row r="277" s="1" customFormat="1" spans="1:3">
      <c r="A277" s="6" t="s">
        <v>783</v>
      </c>
      <c r="B277" s="6" t="s">
        <v>784</v>
      </c>
      <c r="C277" s="1" t="s">
        <v>785</v>
      </c>
    </row>
    <row r="278" s="1" customFormat="1" spans="1:3">
      <c r="A278" s="6" t="s">
        <v>786</v>
      </c>
      <c r="B278" s="6" t="s">
        <v>787</v>
      </c>
      <c r="C278" s="1" t="s">
        <v>787</v>
      </c>
    </row>
    <row r="279" s="1" customFormat="1" spans="1:3">
      <c r="A279" s="6" t="s">
        <v>788</v>
      </c>
      <c r="B279" s="6" t="s">
        <v>789</v>
      </c>
      <c r="C279" s="1" t="s">
        <v>789</v>
      </c>
    </row>
    <row r="280" s="1" customFormat="1" spans="1:3">
      <c r="A280" s="6" t="s">
        <v>790</v>
      </c>
      <c r="B280" s="6" t="s">
        <v>791</v>
      </c>
      <c r="C280" s="1" t="s">
        <v>791</v>
      </c>
    </row>
    <row r="281" s="1" customFormat="1" spans="1:3">
      <c r="A281" s="6" t="s">
        <v>792</v>
      </c>
      <c r="B281" s="6" t="s">
        <v>793</v>
      </c>
      <c r="C281" s="1" t="s">
        <v>793</v>
      </c>
    </row>
    <row r="282" s="1" customFormat="1" spans="1:3">
      <c r="A282" s="6" t="s">
        <v>794</v>
      </c>
      <c r="B282" s="6" t="s">
        <v>795</v>
      </c>
      <c r="C282" s="1" t="s">
        <v>795</v>
      </c>
    </row>
    <row r="283" s="1" customFormat="1" spans="1:3">
      <c r="A283" s="6" t="s">
        <v>796</v>
      </c>
      <c r="B283" s="6" t="s">
        <v>797</v>
      </c>
      <c r="C283" s="1" t="s">
        <v>797</v>
      </c>
    </row>
    <row r="284" s="1" customFormat="1" spans="1:3">
      <c r="A284" s="6" t="s">
        <v>798</v>
      </c>
      <c r="B284" s="6" t="s">
        <v>799</v>
      </c>
      <c r="C284" s="1" t="s">
        <v>800</v>
      </c>
    </row>
    <row r="285" s="1" customFormat="1" spans="1:3">
      <c r="A285" s="6" t="s">
        <v>801</v>
      </c>
      <c r="B285" s="6" t="s">
        <v>802</v>
      </c>
      <c r="C285" s="1" t="s">
        <v>802</v>
      </c>
    </row>
    <row r="286" s="1" customFormat="1" spans="1:3">
      <c r="A286" s="6" t="s">
        <v>803</v>
      </c>
      <c r="B286" s="6" t="s">
        <v>804</v>
      </c>
      <c r="C286" s="1" t="s">
        <v>804</v>
      </c>
    </row>
    <row r="287" s="1" customFormat="1" spans="1:3">
      <c r="A287" s="6" t="s">
        <v>805</v>
      </c>
      <c r="B287" s="6" t="s">
        <v>806</v>
      </c>
      <c r="C287" s="1" t="s">
        <v>806</v>
      </c>
    </row>
    <row r="288" s="1" customFormat="1" spans="1:3">
      <c r="A288" s="6" t="s">
        <v>807</v>
      </c>
      <c r="B288" s="6" t="s">
        <v>808</v>
      </c>
      <c r="C288" s="1" t="s">
        <v>808</v>
      </c>
    </row>
    <row r="289" s="1" customFormat="1" spans="1:3">
      <c r="A289" s="6" t="s">
        <v>809</v>
      </c>
      <c r="B289" s="6" t="s">
        <v>810</v>
      </c>
      <c r="C289" s="1" t="s">
        <v>810</v>
      </c>
    </row>
    <row r="290" s="1" customFormat="1" spans="1:3">
      <c r="A290" s="6" t="s">
        <v>811</v>
      </c>
      <c r="B290" s="6" t="s">
        <v>812</v>
      </c>
      <c r="C290" s="1" t="s">
        <v>812</v>
      </c>
    </row>
    <row r="291" s="1" customFormat="1" spans="1:3">
      <c r="A291" s="6" t="s">
        <v>813</v>
      </c>
      <c r="B291" s="6" t="s">
        <v>814</v>
      </c>
      <c r="C291" s="1" t="s">
        <v>814</v>
      </c>
    </row>
    <row r="292" s="1" customFormat="1" spans="1:3">
      <c r="A292" s="6" t="s">
        <v>815</v>
      </c>
      <c r="B292" s="6" t="s">
        <v>816</v>
      </c>
      <c r="C292" s="1" t="s">
        <v>816</v>
      </c>
    </row>
    <row r="293" s="1" customFormat="1" spans="1:3">
      <c r="A293" s="6" t="s">
        <v>817</v>
      </c>
      <c r="B293" s="6" t="s">
        <v>818</v>
      </c>
      <c r="C293" s="1" t="s">
        <v>819</v>
      </c>
    </row>
    <row r="294" s="1" customFormat="1" spans="1:3">
      <c r="A294" s="6" t="s">
        <v>820</v>
      </c>
      <c r="B294" s="6" t="s">
        <v>821</v>
      </c>
      <c r="C294" s="1" t="s">
        <v>822</v>
      </c>
    </row>
    <row r="295" s="1" customFormat="1" spans="1:3">
      <c r="A295" s="6" t="s">
        <v>823</v>
      </c>
      <c r="B295" s="6" t="s">
        <v>824</v>
      </c>
      <c r="C295" s="1" t="s">
        <v>825</v>
      </c>
    </row>
    <row r="296" s="1" customFormat="1" spans="1:3">
      <c r="A296" s="6" t="s">
        <v>826</v>
      </c>
      <c r="B296" s="6" t="s">
        <v>827</v>
      </c>
      <c r="C296" s="1" t="s">
        <v>828</v>
      </c>
    </row>
    <row r="297" s="1" customFormat="1" spans="1:3">
      <c r="A297" s="6" t="s">
        <v>829</v>
      </c>
      <c r="B297" s="6" t="s">
        <v>830</v>
      </c>
      <c r="C297" s="1" t="s">
        <v>831</v>
      </c>
    </row>
    <row r="298" s="1" customFormat="1" spans="1:3">
      <c r="A298" s="6" t="s">
        <v>832</v>
      </c>
      <c r="B298" s="6" t="s">
        <v>833</v>
      </c>
      <c r="C298" s="1" t="s">
        <v>833</v>
      </c>
    </row>
    <row r="299" s="1" customFormat="1" spans="1:3">
      <c r="A299" s="6" t="s">
        <v>834</v>
      </c>
      <c r="B299" s="6" t="s">
        <v>835</v>
      </c>
      <c r="C299" s="1" t="s">
        <v>836</v>
      </c>
    </row>
    <row r="300" s="1" customFormat="1" spans="1:3">
      <c r="A300" s="6" t="s">
        <v>837</v>
      </c>
      <c r="B300" s="6" t="s">
        <v>838</v>
      </c>
      <c r="C300" s="1" t="s">
        <v>838</v>
      </c>
    </row>
    <row r="301" s="1" customFormat="1" spans="1:3">
      <c r="A301" s="6" t="s">
        <v>839</v>
      </c>
      <c r="B301" s="6" t="s">
        <v>840</v>
      </c>
      <c r="C301" s="1" t="s">
        <v>840</v>
      </c>
    </row>
    <row r="302" s="1" customFormat="1" spans="1:3">
      <c r="A302" s="6" t="s">
        <v>841</v>
      </c>
      <c r="B302" s="6" t="s">
        <v>842</v>
      </c>
      <c r="C302" s="1" t="s">
        <v>842</v>
      </c>
    </row>
    <row r="303" s="1" customFormat="1" spans="1:3">
      <c r="A303" s="6" t="s">
        <v>843</v>
      </c>
      <c r="B303" s="6" t="s">
        <v>844</v>
      </c>
      <c r="C303" s="1" t="s">
        <v>845</v>
      </c>
    </row>
    <row r="304" s="1" customFormat="1" spans="1:3">
      <c r="A304" s="6" t="s">
        <v>846</v>
      </c>
      <c r="B304" s="6" t="s">
        <v>847</v>
      </c>
      <c r="C304" s="1" t="s">
        <v>848</v>
      </c>
    </row>
    <row r="305" s="1" customFormat="1" spans="1:3">
      <c r="A305" s="6" t="s">
        <v>849</v>
      </c>
      <c r="B305" s="6" t="s">
        <v>850</v>
      </c>
      <c r="C305" s="1" t="s">
        <v>850</v>
      </c>
    </row>
    <row r="306" s="1" customFormat="1" spans="1:3">
      <c r="A306" s="6" t="s">
        <v>851</v>
      </c>
      <c r="B306" s="6" t="s">
        <v>852</v>
      </c>
      <c r="C306" s="1" t="s">
        <v>852</v>
      </c>
    </row>
    <row r="307" s="1" customFormat="1" spans="1:3">
      <c r="A307" s="6" t="s">
        <v>853</v>
      </c>
      <c r="B307" s="6" t="s">
        <v>854</v>
      </c>
      <c r="C307" s="1" t="s">
        <v>854</v>
      </c>
    </row>
    <row r="308" s="1" customFormat="1" spans="1:3">
      <c r="A308" s="6" t="s">
        <v>855</v>
      </c>
      <c r="B308" s="6" t="s">
        <v>856</v>
      </c>
      <c r="C308" s="1" t="s">
        <v>857</v>
      </c>
    </row>
    <row r="309" s="1" customFormat="1" spans="1:3">
      <c r="A309" s="6" t="s">
        <v>858</v>
      </c>
      <c r="B309" s="6" t="s">
        <v>859</v>
      </c>
      <c r="C309" s="1" t="s">
        <v>859</v>
      </c>
    </row>
    <row r="310" s="1" customFormat="1" spans="1:3">
      <c r="A310" s="6" t="s">
        <v>860</v>
      </c>
      <c r="B310" s="6" t="s">
        <v>861</v>
      </c>
      <c r="C310" s="1" t="s">
        <v>861</v>
      </c>
    </row>
    <row r="311" s="1" customFormat="1" spans="1:3">
      <c r="A311" s="6" t="s">
        <v>862</v>
      </c>
      <c r="B311" s="6" t="s">
        <v>863</v>
      </c>
      <c r="C311" s="1" t="s">
        <v>863</v>
      </c>
    </row>
    <row r="312" s="1" customFormat="1" spans="1:3">
      <c r="A312" s="6" t="s">
        <v>864</v>
      </c>
      <c r="B312" s="6" t="s">
        <v>865</v>
      </c>
      <c r="C312" s="1" t="s">
        <v>865</v>
      </c>
    </row>
    <row r="313" s="1" customFormat="1" spans="1:3">
      <c r="A313" s="6" t="s">
        <v>866</v>
      </c>
      <c r="B313" s="6" t="s">
        <v>867</v>
      </c>
      <c r="C313" s="1" t="s">
        <v>867</v>
      </c>
    </row>
    <row r="314" s="1" customFormat="1" spans="1:3">
      <c r="A314" s="6" t="s">
        <v>868</v>
      </c>
      <c r="B314" s="6" t="s">
        <v>869</v>
      </c>
      <c r="C314" s="1" t="s">
        <v>869</v>
      </c>
    </row>
    <row r="315" s="1" customFormat="1" spans="1:3">
      <c r="A315" s="6" t="s">
        <v>870</v>
      </c>
      <c r="B315" s="6" t="s">
        <v>871</v>
      </c>
      <c r="C315" s="1" t="s">
        <v>871</v>
      </c>
    </row>
    <row r="316" s="1" customFormat="1" spans="1:3">
      <c r="A316" s="6" t="s">
        <v>872</v>
      </c>
      <c r="B316" s="6" t="s">
        <v>873</v>
      </c>
      <c r="C316" s="1" t="s">
        <v>873</v>
      </c>
    </row>
    <row r="317" s="1" customFormat="1" spans="1:3">
      <c r="A317" s="6" t="s">
        <v>874</v>
      </c>
      <c r="B317" s="6" t="s">
        <v>875</v>
      </c>
      <c r="C317" s="1" t="s">
        <v>875</v>
      </c>
    </row>
    <row r="318" s="1" customFormat="1" spans="1:3">
      <c r="A318" s="6" t="s">
        <v>876</v>
      </c>
      <c r="B318" s="6" t="s">
        <v>877</v>
      </c>
      <c r="C318" s="1" t="s">
        <v>877</v>
      </c>
    </row>
    <row r="319" s="1" customFormat="1" spans="1:3">
      <c r="A319" s="6" t="s">
        <v>878</v>
      </c>
      <c r="B319" s="6" t="s">
        <v>879</v>
      </c>
      <c r="C319" s="1" t="s">
        <v>879</v>
      </c>
    </row>
    <row r="320" s="1" customFormat="1" spans="1:3">
      <c r="A320" s="6" t="s">
        <v>880</v>
      </c>
      <c r="B320" s="6" t="s">
        <v>881</v>
      </c>
      <c r="C320" s="1" t="s">
        <v>881</v>
      </c>
    </row>
    <row r="321" s="1" customFormat="1" spans="1:3">
      <c r="A321" s="6" t="s">
        <v>882</v>
      </c>
      <c r="B321" s="6" t="s">
        <v>883</v>
      </c>
      <c r="C321" s="1" t="s">
        <v>883</v>
      </c>
    </row>
    <row r="322" s="1" customFormat="1" spans="1:3">
      <c r="A322" s="6" t="s">
        <v>884</v>
      </c>
      <c r="B322" s="6" t="s">
        <v>885</v>
      </c>
      <c r="C322" s="1" t="s">
        <v>885</v>
      </c>
    </row>
    <row r="323" s="1" customFormat="1" spans="1:3">
      <c r="A323" s="6" t="s">
        <v>886</v>
      </c>
      <c r="B323" s="6" t="s">
        <v>887</v>
      </c>
      <c r="C323" s="1" t="s">
        <v>887</v>
      </c>
    </row>
    <row r="324" s="1" customFormat="1" spans="1:3">
      <c r="A324" s="6" t="s">
        <v>888</v>
      </c>
      <c r="B324" s="6" t="s">
        <v>889</v>
      </c>
      <c r="C324" s="1" t="s">
        <v>889</v>
      </c>
    </row>
    <row r="325" s="1" customFormat="1" spans="1:3">
      <c r="A325" s="6" t="s">
        <v>890</v>
      </c>
      <c r="B325" s="6" t="s">
        <v>891</v>
      </c>
      <c r="C325" s="1" t="s">
        <v>891</v>
      </c>
    </row>
    <row r="326" s="1" customFormat="1" spans="1:3">
      <c r="A326" s="6" t="s">
        <v>892</v>
      </c>
      <c r="B326" s="6" t="s">
        <v>893</v>
      </c>
      <c r="C326" s="1" t="s">
        <v>894</v>
      </c>
    </row>
    <row r="327" s="1" customFormat="1" spans="1:3">
      <c r="A327" s="6" t="s">
        <v>895</v>
      </c>
      <c r="B327" s="6" t="s">
        <v>896</v>
      </c>
      <c r="C327" s="1" t="s">
        <v>896</v>
      </c>
    </row>
    <row r="328" s="1" customFormat="1" spans="1:3">
      <c r="A328" s="6" t="s">
        <v>897</v>
      </c>
      <c r="B328" s="6" t="s">
        <v>898</v>
      </c>
      <c r="C328" s="1" t="s">
        <v>898</v>
      </c>
    </row>
    <row r="329" s="1" customFormat="1" spans="1:3">
      <c r="A329" s="6" t="s">
        <v>899</v>
      </c>
      <c r="B329" s="6" t="s">
        <v>900</v>
      </c>
      <c r="C329" s="1" t="s">
        <v>900</v>
      </c>
    </row>
    <row r="330" s="1" customFormat="1" spans="1:3">
      <c r="A330" s="6" t="s">
        <v>901</v>
      </c>
      <c r="B330" s="6" t="s">
        <v>902</v>
      </c>
      <c r="C330" s="1" t="s">
        <v>902</v>
      </c>
    </row>
    <row r="331" s="1" customFormat="1" spans="1:3">
      <c r="A331" s="6" t="s">
        <v>903</v>
      </c>
      <c r="B331" s="6" t="s">
        <v>904</v>
      </c>
      <c r="C331" s="1" t="s">
        <v>904</v>
      </c>
    </row>
    <row r="332" s="1" customFormat="1" spans="1:3">
      <c r="A332" s="6" t="s">
        <v>905</v>
      </c>
      <c r="B332" s="6" t="s">
        <v>906</v>
      </c>
      <c r="C332" s="1" t="s">
        <v>906</v>
      </c>
    </row>
    <row r="333" s="1" customFormat="1" spans="1:3">
      <c r="A333" s="6" t="s">
        <v>907</v>
      </c>
      <c r="B333" s="6" t="s">
        <v>908</v>
      </c>
      <c r="C333" s="1" t="s">
        <v>909</v>
      </c>
    </row>
    <row r="334" s="1" customFormat="1" spans="1:3">
      <c r="A334" s="6" t="s">
        <v>910</v>
      </c>
      <c r="B334" s="6" t="s">
        <v>911</v>
      </c>
      <c r="C334" s="1" t="s">
        <v>911</v>
      </c>
    </row>
    <row r="335" s="1" customFormat="1" spans="1:3">
      <c r="A335" s="6" t="s">
        <v>912</v>
      </c>
      <c r="B335" s="6" t="s">
        <v>913</v>
      </c>
      <c r="C335" s="1" t="s">
        <v>913</v>
      </c>
    </row>
    <row r="336" s="1" customFormat="1" spans="1:3">
      <c r="A336" s="6" t="s">
        <v>914</v>
      </c>
      <c r="B336" s="6" t="s">
        <v>915</v>
      </c>
      <c r="C336" s="1" t="s">
        <v>915</v>
      </c>
    </row>
    <row r="337" s="1" customFormat="1" spans="1:3">
      <c r="A337" s="6" t="s">
        <v>916</v>
      </c>
      <c r="B337" s="6" t="s">
        <v>917</v>
      </c>
      <c r="C337" s="1" t="s">
        <v>918</v>
      </c>
    </row>
    <row r="338" s="1" customFormat="1" spans="1:3">
      <c r="A338" s="6" t="s">
        <v>919</v>
      </c>
      <c r="B338" s="6" t="s">
        <v>920</v>
      </c>
      <c r="C338" s="1" t="s">
        <v>920</v>
      </c>
    </row>
    <row r="339" s="1" customFormat="1" spans="1:3">
      <c r="A339" s="6" t="s">
        <v>921</v>
      </c>
      <c r="B339" s="6" t="s">
        <v>922</v>
      </c>
      <c r="C339" s="1" t="s">
        <v>923</v>
      </c>
    </row>
    <row r="340" s="1" customFormat="1" spans="1:3">
      <c r="A340" s="6" t="s">
        <v>924</v>
      </c>
      <c r="B340" s="6" t="s">
        <v>925</v>
      </c>
      <c r="C340" s="1" t="s">
        <v>926</v>
      </c>
    </row>
    <row r="341" s="1" customFormat="1" spans="1:3">
      <c r="A341" s="6" t="s">
        <v>927</v>
      </c>
      <c r="B341" s="6" t="s">
        <v>928</v>
      </c>
      <c r="C341" s="1" t="s">
        <v>929</v>
      </c>
    </row>
    <row r="342" s="1" customFormat="1" spans="1:3">
      <c r="A342" s="6" t="s">
        <v>930</v>
      </c>
      <c r="B342" s="6" t="s">
        <v>931</v>
      </c>
      <c r="C342" s="1" t="s">
        <v>932</v>
      </c>
    </row>
    <row r="343" s="1" customFormat="1" spans="1:3">
      <c r="A343" s="6" t="s">
        <v>933</v>
      </c>
      <c r="B343" s="6" t="s">
        <v>934</v>
      </c>
      <c r="C343" s="1" t="s">
        <v>935</v>
      </c>
    </row>
    <row r="344" s="1" customFormat="1" spans="1:3">
      <c r="A344" s="6" t="s">
        <v>936</v>
      </c>
      <c r="B344" s="6" t="s">
        <v>937</v>
      </c>
      <c r="C344" s="1" t="s">
        <v>937</v>
      </c>
    </row>
    <row r="345" s="1" customFormat="1" spans="1:3">
      <c r="A345" s="6" t="s">
        <v>938</v>
      </c>
      <c r="B345" s="6" t="s">
        <v>939</v>
      </c>
      <c r="C345" s="1" t="s">
        <v>940</v>
      </c>
    </row>
    <row r="346" s="1" customFormat="1" spans="1:3">
      <c r="A346" s="6" t="s">
        <v>941</v>
      </c>
      <c r="B346" s="6" t="s">
        <v>942</v>
      </c>
      <c r="C346" s="1" t="s">
        <v>943</v>
      </c>
    </row>
    <row r="347" s="1" customFormat="1" spans="1:3">
      <c r="A347" s="6" t="s">
        <v>944</v>
      </c>
      <c r="B347" s="6" t="s">
        <v>945</v>
      </c>
      <c r="C347" s="1" t="s">
        <v>946</v>
      </c>
    </row>
    <row r="348" s="1" customFormat="1" spans="1:3">
      <c r="A348" s="6" t="s">
        <v>947</v>
      </c>
      <c r="B348" s="6" t="s">
        <v>948</v>
      </c>
      <c r="C348" s="1" t="s">
        <v>949</v>
      </c>
    </row>
    <row r="349" s="1" customFormat="1" spans="1:3">
      <c r="A349" s="6" t="s">
        <v>950</v>
      </c>
      <c r="B349" s="6" t="s">
        <v>951</v>
      </c>
      <c r="C349" s="1" t="s">
        <v>952</v>
      </c>
    </row>
    <row r="350" s="1" customFormat="1" spans="1:3">
      <c r="A350" s="6" t="s">
        <v>953</v>
      </c>
      <c r="B350" s="6" t="s">
        <v>954</v>
      </c>
      <c r="C350" s="1" t="s">
        <v>955</v>
      </c>
    </row>
    <row r="351" s="1" customFormat="1" spans="1:3">
      <c r="A351" s="6" t="s">
        <v>956</v>
      </c>
      <c r="B351" s="6" t="s">
        <v>957</v>
      </c>
      <c r="C351" s="1" t="s">
        <v>958</v>
      </c>
    </row>
    <row r="352" s="1" customFormat="1" spans="1:3">
      <c r="A352" s="6" t="s">
        <v>959</v>
      </c>
      <c r="B352" s="6" t="s">
        <v>960</v>
      </c>
      <c r="C352" s="1" t="s">
        <v>961</v>
      </c>
    </row>
    <row r="353" s="1" customFormat="1" spans="1:3">
      <c r="A353" s="6" t="s">
        <v>962</v>
      </c>
      <c r="B353" s="6" t="s">
        <v>963</v>
      </c>
      <c r="C353" s="1" t="s">
        <v>964</v>
      </c>
    </row>
    <row r="354" s="1" customFormat="1" spans="1:3">
      <c r="A354" s="6" t="s">
        <v>965</v>
      </c>
      <c r="B354" s="6" t="s">
        <v>966</v>
      </c>
      <c r="C354" s="1" t="s">
        <v>966</v>
      </c>
    </row>
    <row r="355" s="1" customFormat="1" spans="1:3">
      <c r="A355" s="6" t="s">
        <v>967</v>
      </c>
      <c r="B355" s="6" t="s">
        <v>968</v>
      </c>
      <c r="C355" s="1" t="s">
        <v>969</v>
      </c>
    </row>
    <row r="356" s="1" customFormat="1" spans="1:3">
      <c r="A356" s="6" t="s">
        <v>970</v>
      </c>
      <c r="B356" s="6" t="s">
        <v>971</v>
      </c>
      <c r="C356" s="1" t="s">
        <v>972</v>
      </c>
    </row>
    <row r="357" s="1" customFormat="1" spans="1:3">
      <c r="A357" s="6" t="s">
        <v>973</v>
      </c>
      <c r="B357" s="6" t="s">
        <v>974</v>
      </c>
      <c r="C357" s="1" t="s">
        <v>975</v>
      </c>
    </row>
    <row r="358" s="1" customFormat="1" spans="1:3">
      <c r="A358" s="6" t="s">
        <v>976</v>
      </c>
      <c r="B358" s="6" t="s">
        <v>977</v>
      </c>
      <c r="C358" s="1" t="s">
        <v>978</v>
      </c>
    </row>
    <row r="359" s="1" customFormat="1" spans="1:3">
      <c r="A359" s="6" t="s">
        <v>979</v>
      </c>
      <c r="B359" s="6" t="s">
        <v>980</v>
      </c>
      <c r="C359" s="1" t="s">
        <v>981</v>
      </c>
    </row>
    <row r="360" s="1" customFormat="1" spans="1:3">
      <c r="A360" s="6" t="s">
        <v>982</v>
      </c>
      <c r="B360" s="6" t="s">
        <v>983</v>
      </c>
      <c r="C360" s="1" t="s">
        <v>984</v>
      </c>
    </row>
    <row r="361" s="1" customFormat="1" spans="1:3">
      <c r="A361" s="6" t="s">
        <v>985</v>
      </c>
      <c r="B361" s="6" t="s">
        <v>986</v>
      </c>
      <c r="C361" s="1" t="s">
        <v>987</v>
      </c>
    </row>
    <row r="362" s="1" customFormat="1" spans="1:3">
      <c r="A362" s="6" t="s">
        <v>988</v>
      </c>
      <c r="B362" s="6" t="s">
        <v>989</v>
      </c>
      <c r="C362" s="1" t="s">
        <v>990</v>
      </c>
    </row>
    <row r="363" s="1" customFormat="1" spans="1:3">
      <c r="A363" s="6" t="s">
        <v>991</v>
      </c>
      <c r="B363" s="6" t="s">
        <v>992</v>
      </c>
      <c r="C363" s="1" t="s">
        <v>993</v>
      </c>
    </row>
    <row r="364" s="1" customFormat="1" spans="1:3">
      <c r="A364" s="6" t="s">
        <v>994</v>
      </c>
      <c r="B364" s="6" t="s">
        <v>995</v>
      </c>
      <c r="C364" s="1" t="s">
        <v>996</v>
      </c>
    </row>
    <row r="365" s="1" customFormat="1" spans="1:3">
      <c r="A365" s="6" t="s">
        <v>997</v>
      </c>
      <c r="B365" s="6" t="s">
        <v>998</v>
      </c>
      <c r="C365" s="1" t="s">
        <v>999</v>
      </c>
    </row>
    <row r="366" s="1" customFormat="1" spans="1:3">
      <c r="A366" s="6" t="s">
        <v>1000</v>
      </c>
      <c r="B366" s="6" t="s">
        <v>1001</v>
      </c>
      <c r="C366" s="1" t="s">
        <v>1002</v>
      </c>
    </row>
    <row r="367" s="1" customFormat="1" spans="1:3">
      <c r="A367" s="6" t="s">
        <v>1003</v>
      </c>
      <c r="B367" s="6" t="s">
        <v>1004</v>
      </c>
      <c r="C367" s="1" t="s">
        <v>1005</v>
      </c>
    </row>
    <row r="368" s="1" customFormat="1" spans="1:3">
      <c r="A368" s="6" t="s">
        <v>1006</v>
      </c>
      <c r="B368" s="6" t="s">
        <v>1007</v>
      </c>
      <c r="C368" s="1" t="s">
        <v>1008</v>
      </c>
    </row>
    <row r="369" s="1" customFormat="1" spans="1:3">
      <c r="A369" s="6" t="s">
        <v>1009</v>
      </c>
      <c r="B369" s="6" t="s">
        <v>1010</v>
      </c>
      <c r="C369" s="1" t="s">
        <v>1011</v>
      </c>
    </row>
    <row r="370" s="1" customFormat="1" spans="1:3">
      <c r="A370" s="6" t="s">
        <v>1012</v>
      </c>
      <c r="B370" s="6" t="s">
        <v>1013</v>
      </c>
      <c r="C370" s="1" t="s">
        <v>1014</v>
      </c>
    </row>
    <row r="371" s="1" customFormat="1" spans="1:3">
      <c r="A371" s="6" t="s">
        <v>1015</v>
      </c>
      <c r="B371" s="6" t="s">
        <v>1016</v>
      </c>
      <c r="C371" s="1" t="s">
        <v>1017</v>
      </c>
    </row>
    <row r="372" s="1" customFormat="1" spans="1:3">
      <c r="A372" s="6" t="s">
        <v>1018</v>
      </c>
      <c r="B372" s="6" t="s">
        <v>1019</v>
      </c>
      <c r="C372" s="1" t="s">
        <v>1020</v>
      </c>
    </row>
    <row r="373" s="1" customFormat="1" spans="1:3">
      <c r="A373" s="6" t="s">
        <v>1021</v>
      </c>
      <c r="B373" s="6" t="s">
        <v>1022</v>
      </c>
      <c r="C373" s="1" t="s">
        <v>1023</v>
      </c>
    </row>
    <row r="374" s="1" customFormat="1" spans="1:3">
      <c r="A374" s="6" t="s">
        <v>1024</v>
      </c>
      <c r="B374" s="6" t="s">
        <v>1025</v>
      </c>
      <c r="C374" s="1" t="s">
        <v>1026</v>
      </c>
    </row>
    <row r="375" s="1" customFormat="1" spans="1:3">
      <c r="A375" s="6" t="s">
        <v>1027</v>
      </c>
      <c r="B375" s="6" t="s">
        <v>1028</v>
      </c>
      <c r="C375" s="1" t="s">
        <v>1029</v>
      </c>
    </row>
    <row r="376" s="1" customFormat="1" spans="1:3">
      <c r="A376" s="6" t="s">
        <v>1030</v>
      </c>
      <c r="B376" s="6" t="s">
        <v>1031</v>
      </c>
      <c r="C376" s="1" t="s">
        <v>1032</v>
      </c>
    </row>
    <row r="377" s="1" customFormat="1" spans="1:3">
      <c r="A377" s="6" t="s">
        <v>1033</v>
      </c>
      <c r="B377" s="6" t="s">
        <v>1034</v>
      </c>
      <c r="C377" s="1" t="s">
        <v>1035</v>
      </c>
    </row>
    <row r="378" s="1" customFormat="1" spans="1:3">
      <c r="A378" s="6" t="s">
        <v>1036</v>
      </c>
      <c r="B378" s="6" t="s">
        <v>1037</v>
      </c>
      <c r="C378" s="1" t="s">
        <v>1038</v>
      </c>
    </row>
    <row r="379" s="1" customFormat="1" spans="1:3">
      <c r="A379" s="6" t="s">
        <v>1039</v>
      </c>
      <c r="B379" s="6" t="s">
        <v>1040</v>
      </c>
      <c r="C379" s="1" t="s">
        <v>1041</v>
      </c>
    </row>
    <row r="380" s="1" customFormat="1" spans="1:3">
      <c r="A380" s="6" t="s">
        <v>1042</v>
      </c>
      <c r="B380" s="6" t="s">
        <v>1043</v>
      </c>
      <c r="C380" s="1" t="s">
        <v>1044</v>
      </c>
    </row>
    <row r="381" s="1" customFormat="1" spans="1:3">
      <c r="A381" s="6" t="s">
        <v>1045</v>
      </c>
      <c r="B381" s="6" t="s">
        <v>1046</v>
      </c>
      <c r="C381" s="1" t="s">
        <v>1047</v>
      </c>
    </row>
    <row r="382" s="1" customFormat="1" spans="1:3">
      <c r="A382" s="6" t="s">
        <v>1048</v>
      </c>
      <c r="B382" s="6" t="s">
        <v>1049</v>
      </c>
      <c r="C382" s="1" t="s">
        <v>1050</v>
      </c>
    </row>
    <row r="383" s="1" customFormat="1" spans="1:3">
      <c r="A383" s="6" t="s">
        <v>1051</v>
      </c>
      <c r="B383" s="6" t="s">
        <v>1052</v>
      </c>
      <c r="C383" s="1" t="s">
        <v>1053</v>
      </c>
    </row>
    <row r="384" s="1" customFormat="1" spans="1:3">
      <c r="A384" s="6" t="s">
        <v>1054</v>
      </c>
      <c r="B384" s="6" t="s">
        <v>1055</v>
      </c>
      <c r="C384" s="1" t="s">
        <v>1056</v>
      </c>
    </row>
    <row r="385" s="1" customFormat="1" spans="1:3">
      <c r="A385" s="6" t="s">
        <v>1057</v>
      </c>
      <c r="B385" s="6" t="s">
        <v>1058</v>
      </c>
      <c r="C385" s="1" t="s">
        <v>1059</v>
      </c>
    </row>
    <row r="386" s="1" customFormat="1" spans="1:3">
      <c r="A386" s="6" t="s">
        <v>1060</v>
      </c>
      <c r="B386" s="6" t="s">
        <v>1061</v>
      </c>
      <c r="C386" s="1" t="s">
        <v>1062</v>
      </c>
    </row>
    <row r="387" s="1" customFormat="1" spans="1:3">
      <c r="A387" s="6" t="s">
        <v>1063</v>
      </c>
      <c r="B387" s="6" t="s">
        <v>1064</v>
      </c>
      <c r="C387" s="1" t="s">
        <v>1065</v>
      </c>
    </row>
    <row r="388" s="1" customFormat="1" spans="1:3">
      <c r="A388" s="6" t="s">
        <v>1066</v>
      </c>
      <c r="B388" s="6" t="s">
        <v>1067</v>
      </c>
      <c r="C388" s="1" t="s">
        <v>1068</v>
      </c>
    </row>
    <row r="389" s="1" customFormat="1" spans="1:3">
      <c r="A389" s="6" t="s">
        <v>1069</v>
      </c>
      <c r="B389" s="6" t="s">
        <v>1070</v>
      </c>
      <c r="C389" s="1" t="s">
        <v>1071</v>
      </c>
    </row>
    <row r="390" s="1" customFormat="1" spans="1:3">
      <c r="A390" s="6" t="s">
        <v>1072</v>
      </c>
      <c r="B390" s="6" t="s">
        <v>1073</v>
      </c>
      <c r="C390" s="1" t="s">
        <v>1074</v>
      </c>
    </row>
    <row r="391" s="1" customFormat="1" spans="1:3">
      <c r="A391" s="6" t="s">
        <v>1075</v>
      </c>
      <c r="B391" s="6" t="s">
        <v>1076</v>
      </c>
      <c r="C391" s="1" t="s">
        <v>1077</v>
      </c>
    </row>
    <row r="392" s="1" customFormat="1" spans="1:3">
      <c r="A392" s="6" t="s">
        <v>1078</v>
      </c>
      <c r="B392" s="6" t="s">
        <v>1079</v>
      </c>
      <c r="C392" s="1" t="s">
        <v>1080</v>
      </c>
    </row>
    <row r="393" s="1" customFormat="1" spans="1:3">
      <c r="A393" s="6" t="s">
        <v>1081</v>
      </c>
      <c r="B393" s="6" t="s">
        <v>1082</v>
      </c>
      <c r="C393" s="1" t="s">
        <v>1083</v>
      </c>
    </row>
    <row r="394" s="1" customFormat="1" spans="1:3">
      <c r="A394" s="6" t="s">
        <v>1084</v>
      </c>
      <c r="B394" s="6" t="s">
        <v>1085</v>
      </c>
      <c r="C394" s="1" t="s">
        <v>1085</v>
      </c>
    </row>
    <row r="395" s="1" customFormat="1" spans="1:3">
      <c r="A395" s="6" t="s">
        <v>1086</v>
      </c>
      <c r="B395" s="6" t="s">
        <v>1087</v>
      </c>
      <c r="C395" s="1" t="s">
        <v>1088</v>
      </c>
    </row>
    <row r="396" s="1" customFormat="1" spans="1:3">
      <c r="A396" s="6" t="s">
        <v>1089</v>
      </c>
      <c r="B396" s="6" t="s">
        <v>1090</v>
      </c>
      <c r="C396" s="1" t="s">
        <v>1091</v>
      </c>
    </row>
    <row r="397" s="1" customFormat="1" spans="1:3">
      <c r="A397" s="6" t="s">
        <v>1092</v>
      </c>
      <c r="B397" s="6" t="s">
        <v>1093</v>
      </c>
      <c r="C397" s="1" t="s">
        <v>1094</v>
      </c>
    </row>
    <row r="398" s="1" customFormat="1" spans="1:3">
      <c r="A398" s="6" t="s">
        <v>1095</v>
      </c>
      <c r="B398" s="6" t="s">
        <v>1096</v>
      </c>
      <c r="C398" s="1" t="s">
        <v>1097</v>
      </c>
    </row>
    <row r="399" s="1" customFormat="1" spans="1:3">
      <c r="A399" s="6" t="s">
        <v>1098</v>
      </c>
      <c r="B399" s="6" t="s">
        <v>1099</v>
      </c>
      <c r="C399" s="1" t="s">
        <v>1100</v>
      </c>
    </row>
    <row r="400" s="1" customFormat="1" spans="1:3">
      <c r="A400" s="6" t="s">
        <v>1101</v>
      </c>
      <c r="B400" s="6" t="s">
        <v>1102</v>
      </c>
      <c r="C400" s="1" t="s">
        <v>1103</v>
      </c>
    </row>
    <row r="401" s="1" customFormat="1" spans="1:3">
      <c r="A401" s="6" t="s">
        <v>1104</v>
      </c>
      <c r="B401" s="6" t="s">
        <v>1105</v>
      </c>
      <c r="C401" s="1" t="s">
        <v>1106</v>
      </c>
    </row>
    <row r="402" s="1" customFormat="1" spans="1:3">
      <c r="A402" s="6" t="s">
        <v>1107</v>
      </c>
      <c r="B402" s="6" t="s">
        <v>1108</v>
      </c>
      <c r="C402" s="1" t="s">
        <v>1108</v>
      </c>
    </row>
    <row r="403" s="1" customFormat="1" spans="1:3">
      <c r="A403" s="6" t="s">
        <v>1109</v>
      </c>
      <c r="B403" s="6" t="s">
        <v>1110</v>
      </c>
      <c r="C403" s="1" t="s">
        <v>1111</v>
      </c>
    </row>
    <row r="404" s="1" customFormat="1" spans="1:3">
      <c r="A404" s="6" t="s">
        <v>1112</v>
      </c>
      <c r="B404" s="6" t="s">
        <v>1113</v>
      </c>
      <c r="C404" s="1" t="s">
        <v>1114</v>
      </c>
    </row>
    <row r="405" s="1" customFormat="1" spans="1:3">
      <c r="A405" s="6" t="s">
        <v>1115</v>
      </c>
      <c r="B405" s="6" t="s">
        <v>1116</v>
      </c>
      <c r="C405" s="1" t="s">
        <v>1117</v>
      </c>
    </row>
    <row r="406" s="1" customFormat="1" spans="1:3">
      <c r="A406" s="6" t="s">
        <v>1118</v>
      </c>
      <c r="B406" s="6" t="s">
        <v>1119</v>
      </c>
      <c r="C406" s="1" t="s">
        <v>1120</v>
      </c>
    </row>
    <row r="407" s="1" customFormat="1" spans="1:3">
      <c r="A407" s="6" t="s">
        <v>1121</v>
      </c>
      <c r="B407" s="6" t="s">
        <v>1122</v>
      </c>
      <c r="C407" s="1" t="s">
        <v>1123</v>
      </c>
    </row>
    <row r="408" s="1" customFormat="1" spans="1:3">
      <c r="A408" s="6" t="s">
        <v>1124</v>
      </c>
      <c r="B408" s="6" t="s">
        <v>1125</v>
      </c>
      <c r="C408" s="1" t="s">
        <v>1126</v>
      </c>
    </row>
    <row r="409" s="1" customFormat="1" spans="1:3">
      <c r="A409" s="6" t="s">
        <v>1127</v>
      </c>
      <c r="B409" s="6" t="s">
        <v>1128</v>
      </c>
      <c r="C409" s="1" t="s">
        <v>1129</v>
      </c>
    </row>
    <row r="410" s="1" customFormat="1" spans="1:3">
      <c r="A410" s="6" t="s">
        <v>1130</v>
      </c>
      <c r="B410" s="6" t="s">
        <v>1131</v>
      </c>
      <c r="C410" s="1" t="s">
        <v>1132</v>
      </c>
    </row>
    <row r="411" s="1" customFormat="1" spans="1:3">
      <c r="A411" s="6" t="s">
        <v>1133</v>
      </c>
      <c r="B411" s="6" t="s">
        <v>1134</v>
      </c>
      <c r="C411" s="1" t="s">
        <v>1135</v>
      </c>
    </row>
    <row r="412" s="1" customFormat="1" spans="1:3">
      <c r="A412" s="6" t="s">
        <v>1136</v>
      </c>
      <c r="B412" s="6" t="s">
        <v>1137</v>
      </c>
      <c r="C412" s="1" t="s">
        <v>1138</v>
      </c>
    </row>
    <row r="413" s="1" customFormat="1" spans="1:3">
      <c r="A413" s="6" t="s">
        <v>1139</v>
      </c>
      <c r="B413" s="6" t="s">
        <v>1140</v>
      </c>
      <c r="C413" s="1" t="s">
        <v>1140</v>
      </c>
    </row>
    <row r="414" s="1" customFormat="1" spans="1:3">
      <c r="A414" s="6" t="s">
        <v>1141</v>
      </c>
      <c r="B414" s="6" t="s">
        <v>1142</v>
      </c>
      <c r="C414" s="1" t="s">
        <v>1143</v>
      </c>
    </row>
    <row r="415" s="1" customFormat="1" spans="1:3">
      <c r="A415" s="6" t="s">
        <v>1144</v>
      </c>
      <c r="B415" s="6" t="s">
        <v>1145</v>
      </c>
      <c r="C415" s="1" t="s">
        <v>1145</v>
      </c>
    </row>
    <row r="416" s="1" customFormat="1" spans="1:3">
      <c r="A416" s="6" t="s">
        <v>1146</v>
      </c>
      <c r="B416" s="6" t="s">
        <v>1147</v>
      </c>
      <c r="C416" s="1" t="s">
        <v>1148</v>
      </c>
    </row>
    <row r="417" s="1" customFormat="1" spans="1:3">
      <c r="A417" s="6" t="s">
        <v>1149</v>
      </c>
      <c r="B417" s="6" t="s">
        <v>1150</v>
      </c>
      <c r="C417" s="1" t="s">
        <v>1150</v>
      </c>
    </row>
    <row r="418" s="1" customFormat="1" spans="1:3">
      <c r="A418" s="6" t="s">
        <v>1151</v>
      </c>
      <c r="B418" s="6" t="s">
        <v>1152</v>
      </c>
      <c r="C418" s="1" t="s">
        <v>1153</v>
      </c>
    </row>
    <row r="419" s="1" customFormat="1" spans="1:3">
      <c r="A419" s="6" t="s">
        <v>1154</v>
      </c>
      <c r="B419" s="6" t="s">
        <v>1155</v>
      </c>
      <c r="C419" s="1" t="s">
        <v>1156</v>
      </c>
    </row>
    <row r="420" s="1" customFormat="1" spans="1:3">
      <c r="A420" s="6" t="s">
        <v>1157</v>
      </c>
      <c r="B420" s="6" t="s">
        <v>1158</v>
      </c>
      <c r="C420" s="1" t="s">
        <v>1159</v>
      </c>
    </row>
    <row r="421" s="1" customFormat="1" spans="1:3">
      <c r="A421" s="6" t="s">
        <v>1160</v>
      </c>
      <c r="B421" s="6" t="s">
        <v>1161</v>
      </c>
      <c r="C421" s="1" t="s">
        <v>1162</v>
      </c>
    </row>
    <row r="422" s="1" customFormat="1" spans="1:3">
      <c r="A422" s="6" t="s">
        <v>1163</v>
      </c>
      <c r="B422" s="6" t="s">
        <v>1164</v>
      </c>
      <c r="C422" s="1" t="s">
        <v>1165</v>
      </c>
    </row>
    <row r="423" s="1" customFormat="1" spans="1:3">
      <c r="A423" s="6" t="s">
        <v>1166</v>
      </c>
      <c r="B423" s="6" t="s">
        <v>1167</v>
      </c>
      <c r="C423" s="1" t="s">
        <v>1168</v>
      </c>
    </row>
    <row r="424" s="1" customFormat="1" spans="1:3">
      <c r="A424" s="6" t="s">
        <v>1169</v>
      </c>
      <c r="B424" s="6" t="s">
        <v>1170</v>
      </c>
      <c r="C424" s="1" t="s">
        <v>1171</v>
      </c>
    </row>
    <row r="425" s="1" customFormat="1" spans="1:3">
      <c r="A425" s="6" t="s">
        <v>1172</v>
      </c>
      <c r="B425" s="6" t="s">
        <v>1173</v>
      </c>
      <c r="C425" s="1" t="s">
        <v>1174</v>
      </c>
    </row>
    <row r="426" s="1" customFormat="1" spans="1:3">
      <c r="A426" s="6" t="s">
        <v>1175</v>
      </c>
      <c r="B426" s="6" t="s">
        <v>1176</v>
      </c>
      <c r="C426" s="1" t="s">
        <v>1177</v>
      </c>
    </row>
    <row r="427" s="1" customFormat="1" spans="1:3">
      <c r="A427" s="6" t="s">
        <v>1178</v>
      </c>
      <c r="B427" s="6" t="s">
        <v>1179</v>
      </c>
      <c r="C427" s="1" t="s">
        <v>1179</v>
      </c>
    </row>
    <row r="428" s="1" customFormat="1" spans="1:3">
      <c r="A428" s="6" t="s">
        <v>1180</v>
      </c>
      <c r="B428" s="6" t="s">
        <v>1181</v>
      </c>
      <c r="C428" s="1" t="s">
        <v>1182</v>
      </c>
    </row>
    <row r="429" s="1" customFormat="1" spans="1:3">
      <c r="A429" s="6" t="s">
        <v>1183</v>
      </c>
      <c r="B429" s="6" t="s">
        <v>1184</v>
      </c>
      <c r="C429" s="1" t="s">
        <v>1185</v>
      </c>
    </row>
    <row r="430" s="1" customFormat="1" spans="1:3">
      <c r="A430" s="6" t="s">
        <v>1186</v>
      </c>
      <c r="B430" s="6" t="s">
        <v>1187</v>
      </c>
      <c r="C430" s="1" t="s">
        <v>1188</v>
      </c>
    </row>
    <row r="431" s="1" customFormat="1" spans="1:3">
      <c r="A431" s="6" t="s">
        <v>1189</v>
      </c>
      <c r="B431" s="6" t="s">
        <v>1190</v>
      </c>
      <c r="C431" s="1" t="s">
        <v>1191</v>
      </c>
    </row>
    <row r="432" s="1" customFormat="1" spans="1:3">
      <c r="A432" s="6" t="s">
        <v>1192</v>
      </c>
      <c r="B432" s="6" t="s">
        <v>1193</v>
      </c>
      <c r="C432" s="1" t="s">
        <v>1194</v>
      </c>
    </row>
    <row r="433" s="1" customFormat="1" spans="1:3">
      <c r="A433" s="6" t="s">
        <v>1195</v>
      </c>
      <c r="B433" s="6" t="s">
        <v>1196</v>
      </c>
      <c r="C433" s="1" t="s">
        <v>1197</v>
      </c>
    </row>
    <row r="434" s="1" customFormat="1" spans="1:3">
      <c r="A434" s="6" t="s">
        <v>1198</v>
      </c>
      <c r="B434" s="6" t="s">
        <v>1199</v>
      </c>
      <c r="C434" s="1" t="s">
        <v>1200</v>
      </c>
    </row>
    <row r="435" s="1" customFormat="1" spans="1:3">
      <c r="A435" s="6" t="s">
        <v>1201</v>
      </c>
      <c r="B435" s="6" t="s">
        <v>1202</v>
      </c>
      <c r="C435" s="1" t="s">
        <v>1203</v>
      </c>
    </row>
    <row r="436" s="1" customFormat="1" spans="1:3">
      <c r="A436" s="6" t="s">
        <v>1204</v>
      </c>
      <c r="B436" s="6" t="s">
        <v>1205</v>
      </c>
      <c r="C436" s="1" t="s">
        <v>1206</v>
      </c>
    </row>
    <row r="437" s="1" customFormat="1" spans="1:3">
      <c r="A437" s="6" t="s">
        <v>1207</v>
      </c>
      <c r="B437" s="6" t="s">
        <v>1208</v>
      </c>
      <c r="C437" s="1" t="s">
        <v>1208</v>
      </c>
    </row>
    <row r="438" s="1" customFormat="1" spans="1:3">
      <c r="A438" s="6" t="s">
        <v>1209</v>
      </c>
      <c r="B438" s="6" t="s">
        <v>1210</v>
      </c>
      <c r="C438" s="1" t="s">
        <v>1211</v>
      </c>
    </row>
    <row r="439" s="1" customFormat="1" spans="1:3">
      <c r="A439" s="6" t="s">
        <v>1212</v>
      </c>
      <c r="B439" s="6" t="s">
        <v>1213</v>
      </c>
      <c r="C439" s="1" t="s">
        <v>1214</v>
      </c>
    </row>
    <row r="440" s="1" customFormat="1" spans="1:3">
      <c r="A440" s="6" t="s">
        <v>1215</v>
      </c>
      <c r="B440" s="6" t="s">
        <v>1216</v>
      </c>
      <c r="C440" s="1" t="s">
        <v>1216</v>
      </c>
    </row>
    <row r="441" s="1" customFormat="1" spans="1:3">
      <c r="A441" s="6" t="s">
        <v>1217</v>
      </c>
      <c r="B441" s="6" t="s">
        <v>1218</v>
      </c>
      <c r="C441" s="1" t="s">
        <v>1219</v>
      </c>
    </row>
    <row r="442" s="1" customFormat="1" spans="1:3">
      <c r="A442" s="6" t="s">
        <v>1220</v>
      </c>
      <c r="B442" s="6" t="s">
        <v>1221</v>
      </c>
      <c r="C442" s="1" t="s">
        <v>1222</v>
      </c>
    </row>
    <row r="443" s="1" customFormat="1" spans="1:3">
      <c r="A443" s="6" t="s">
        <v>1223</v>
      </c>
      <c r="B443" s="6" t="s">
        <v>1224</v>
      </c>
      <c r="C443" s="1" t="s">
        <v>1225</v>
      </c>
    </row>
    <row r="444" s="1" customFormat="1" spans="1:3">
      <c r="A444" s="6" t="s">
        <v>1226</v>
      </c>
      <c r="B444" s="6" t="s">
        <v>1227</v>
      </c>
      <c r="C444" s="1" t="s">
        <v>1228</v>
      </c>
    </row>
    <row r="445" s="1" customFormat="1" spans="1:3">
      <c r="A445" s="6" t="s">
        <v>1229</v>
      </c>
      <c r="B445" s="6">
        <v>1688</v>
      </c>
      <c r="C445" s="1">
        <v>1688</v>
      </c>
    </row>
    <row r="446" s="1" customFormat="1" spans="1:3">
      <c r="A446" s="6" t="s">
        <v>1230</v>
      </c>
      <c r="B446" s="6" t="s">
        <v>1231</v>
      </c>
      <c r="C446" s="1" t="s">
        <v>1231</v>
      </c>
    </row>
    <row r="447" s="1" customFormat="1" spans="1:3">
      <c r="A447" s="6" t="s">
        <v>1232</v>
      </c>
      <c r="B447" s="6" t="s">
        <v>1233</v>
      </c>
      <c r="C447" s="1" t="s">
        <v>1233</v>
      </c>
    </row>
    <row r="448" s="1" customFormat="1" spans="1:3">
      <c r="A448" s="6" t="s">
        <v>1234</v>
      </c>
      <c r="B448" s="6" t="s">
        <v>1235</v>
      </c>
      <c r="C448" s="1" t="s">
        <v>1236</v>
      </c>
    </row>
    <row r="449" s="1" customFormat="1" spans="1:3">
      <c r="A449" s="6" t="s">
        <v>1237</v>
      </c>
      <c r="B449" s="6" t="s">
        <v>1238</v>
      </c>
      <c r="C449" s="1" t="s">
        <v>1239</v>
      </c>
    </row>
    <row r="450" s="1" customFormat="1" spans="1:3">
      <c r="A450" s="6" t="s">
        <v>1240</v>
      </c>
      <c r="B450" s="6" t="s">
        <v>1241</v>
      </c>
      <c r="C450" s="1" t="s">
        <v>1242</v>
      </c>
    </row>
    <row r="451" s="1" customFormat="1" spans="1:3">
      <c r="A451" s="6" t="s">
        <v>1243</v>
      </c>
      <c r="B451" s="6" t="s">
        <v>1244</v>
      </c>
      <c r="C451" s="1" t="s">
        <v>1244</v>
      </c>
    </row>
    <row r="452" s="1" customFormat="1" spans="1:3">
      <c r="A452" s="6" t="s">
        <v>1245</v>
      </c>
      <c r="B452" s="6" t="s">
        <v>1246</v>
      </c>
      <c r="C452" s="1" t="s">
        <v>1247</v>
      </c>
    </row>
    <row r="453" s="1" customFormat="1" spans="1:3">
      <c r="A453" s="6" t="s">
        <v>1248</v>
      </c>
      <c r="B453" s="6" t="s">
        <v>1249</v>
      </c>
      <c r="C453" s="1" t="s">
        <v>1250</v>
      </c>
    </row>
    <row r="454" s="1" customFormat="1" spans="1:3">
      <c r="A454" s="6" t="s">
        <v>1251</v>
      </c>
      <c r="B454" s="6" t="s">
        <v>1252</v>
      </c>
      <c r="C454" s="1" t="s">
        <v>1253</v>
      </c>
    </row>
    <row r="455" s="1" customFormat="1" spans="1:3">
      <c r="A455" s="6" t="s">
        <v>1254</v>
      </c>
      <c r="B455" s="6" t="s">
        <v>1255</v>
      </c>
      <c r="C455" s="1" t="s">
        <v>1255</v>
      </c>
    </row>
    <row r="456" s="1" customFormat="1" spans="1:3">
      <c r="A456" s="6" t="s">
        <v>1256</v>
      </c>
      <c r="B456" s="6" t="s">
        <v>1257</v>
      </c>
      <c r="C456" s="1" t="s">
        <v>1257</v>
      </c>
    </row>
    <row r="457" s="1" customFormat="1" spans="1:3">
      <c r="A457" s="6" t="s">
        <v>1258</v>
      </c>
      <c r="B457" s="6" t="s">
        <v>1259</v>
      </c>
      <c r="C457" s="1" t="s">
        <v>1260</v>
      </c>
    </row>
    <row r="458" s="1" customFormat="1" spans="1:3">
      <c r="A458" s="6" t="s">
        <v>1261</v>
      </c>
      <c r="B458" s="6" t="s">
        <v>1262</v>
      </c>
      <c r="C458" s="1" t="s">
        <v>1263</v>
      </c>
    </row>
    <row r="459" s="1" customFormat="1" spans="1:3">
      <c r="A459" s="6" t="s">
        <v>1264</v>
      </c>
      <c r="B459" s="6" t="s">
        <v>1265</v>
      </c>
      <c r="C459" s="1" t="s">
        <v>1265</v>
      </c>
    </row>
    <row r="460" s="1" customFormat="1" spans="1:3">
      <c r="A460" s="6" t="s">
        <v>1266</v>
      </c>
      <c r="B460" s="6" t="s">
        <v>1267</v>
      </c>
      <c r="C460" s="1" t="s">
        <v>1267</v>
      </c>
    </row>
    <row r="461" s="1" customFormat="1" spans="1:3">
      <c r="A461" s="6" t="s">
        <v>1268</v>
      </c>
      <c r="B461" s="6" t="s">
        <v>1269</v>
      </c>
      <c r="C461" s="1" t="s">
        <v>1269</v>
      </c>
    </row>
    <row r="462" s="1" customFormat="1" spans="1:3">
      <c r="A462" s="6" t="s">
        <v>1270</v>
      </c>
      <c r="B462" s="6" t="s">
        <v>1271</v>
      </c>
      <c r="C462" s="1" t="s">
        <v>1271</v>
      </c>
    </row>
    <row r="463" s="1" customFormat="1" spans="1:3">
      <c r="A463" s="6" t="s">
        <v>1272</v>
      </c>
      <c r="B463" s="6" t="s">
        <v>1273</v>
      </c>
      <c r="C463" s="1" t="s">
        <v>1273</v>
      </c>
    </row>
    <row r="464" s="1" customFormat="1" spans="1:3">
      <c r="A464" s="6" t="s">
        <v>1274</v>
      </c>
      <c r="B464" s="6" t="s">
        <v>1275</v>
      </c>
      <c r="C464" s="1" t="s">
        <v>1275</v>
      </c>
    </row>
    <row r="465" s="1" customFormat="1" spans="1:3">
      <c r="A465" s="6" t="s">
        <v>1276</v>
      </c>
      <c r="B465" s="6" t="s">
        <v>1277</v>
      </c>
      <c r="C465" s="1" t="s">
        <v>1277</v>
      </c>
    </row>
    <row r="466" s="1" customFormat="1" spans="1:3">
      <c r="A466" s="6" t="s">
        <v>1278</v>
      </c>
      <c r="B466" s="6" t="s">
        <v>1279</v>
      </c>
      <c r="C466" s="1" t="s">
        <v>1279</v>
      </c>
    </row>
    <row r="467" s="1" customFormat="1" spans="1:3">
      <c r="A467" s="6" t="s">
        <v>1280</v>
      </c>
      <c r="B467" s="6" t="s">
        <v>1281</v>
      </c>
      <c r="C467" s="1" t="s">
        <v>1281</v>
      </c>
    </row>
    <row r="468" s="1" customFormat="1" spans="1:3">
      <c r="A468" s="6" t="s">
        <v>1282</v>
      </c>
      <c r="B468" s="6" t="s">
        <v>1283</v>
      </c>
      <c r="C468" s="1" t="s">
        <v>1283</v>
      </c>
    </row>
    <row r="469" s="1" customFormat="1" spans="1:3">
      <c r="A469" s="6" t="s">
        <v>1284</v>
      </c>
      <c r="B469" s="6" t="s">
        <v>1285</v>
      </c>
      <c r="C469" s="1" t="s">
        <v>1285</v>
      </c>
    </row>
    <row r="470" s="1" customFormat="1" spans="1:3">
      <c r="A470" s="6" t="s">
        <v>1286</v>
      </c>
      <c r="B470" s="6" t="s">
        <v>1287</v>
      </c>
      <c r="C470" s="1" t="s">
        <v>1287</v>
      </c>
    </row>
    <row r="471" s="1" customFormat="1" spans="1:3">
      <c r="A471" s="6" t="s">
        <v>1288</v>
      </c>
      <c r="B471" s="6" t="s">
        <v>1289</v>
      </c>
      <c r="C471" s="1" t="s">
        <v>1289</v>
      </c>
    </row>
    <row r="472" s="1" customFormat="1" spans="1:3">
      <c r="A472" s="6" t="s">
        <v>1290</v>
      </c>
      <c r="B472" s="6" t="s">
        <v>1291</v>
      </c>
      <c r="C472" s="1" t="s">
        <v>1291</v>
      </c>
    </row>
    <row r="473" s="1" customFormat="1" spans="1:3">
      <c r="A473" s="6" t="s">
        <v>1292</v>
      </c>
      <c r="B473" s="6" t="s">
        <v>1293</v>
      </c>
      <c r="C473" s="1" t="s">
        <v>1293</v>
      </c>
    </row>
    <row r="474" s="1" customFormat="1" spans="1:3">
      <c r="A474" s="6" t="s">
        <v>1294</v>
      </c>
      <c r="B474" s="6" t="s">
        <v>1295</v>
      </c>
      <c r="C474" s="1" t="s">
        <v>1295</v>
      </c>
    </row>
    <row r="475" s="1" customFormat="1" spans="1:3">
      <c r="A475" s="6" t="s">
        <v>1296</v>
      </c>
      <c r="B475" s="6" t="s">
        <v>1297</v>
      </c>
      <c r="C475" s="1" t="s">
        <v>1297</v>
      </c>
    </row>
    <row r="476" s="1" customFormat="1" spans="1:3">
      <c r="A476" s="6" t="s">
        <v>1298</v>
      </c>
      <c r="B476" s="6" t="s">
        <v>1299</v>
      </c>
      <c r="C476" s="1" t="s">
        <v>1299</v>
      </c>
    </row>
    <row r="477" s="1" customFormat="1" spans="1:3">
      <c r="A477" s="6" t="s">
        <v>1300</v>
      </c>
      <c r="B477" s="6" t="s">
        <v>1301</v>
      </c>
      <c r="C477" s="1" t="s">
        <v>1301</v>
      </c>
    </row>
    <row r="478" s="1" customFormat="1" spans="1:3">
      <c r="A478" s="6" t="s">
        <v>1302</v>
      </c>
      <c r="B478" s="6" t="s">
        <v>1303</v>
      </c>
      <c r="C478" s="1" t="s">
        <v>1303</v>
      </c>
    </row>
    <row r="479" s="1" customFormat="1" spans="1:3">
      <c r="A479" s="6" t="s">
        <v>1304</v>
      </c>
      <c r="B479" s="6" t="s">
        <v>1305</v>
      </c>
      <c r="C479" s="1" t="s">
        <v>1305</v>
      </c>
    </row>
    <row r="480" s="1" customFormat="1" spans="1:3">
      <c r="A480" s="6" t="s">
        <v>1306</v>
      </c>
      <c r="B480" s="6" t="s">
        <v>1307</v>
      </c>
      <c r="C480" s="1" t="s">
        <v>1307</v>
      </c>
    </row>
    <row r="481" s="1" customFormat="1" spans="1:3">
      <c r="A481" s="6" t="s">
        <v>1308</v>
      </c>
      <c r="B481" s="6" t="s">
        <v>1309</v>
      </c>
      <c r="C481" s="1" t="s">
        <v>1309</v>
      </c>
    </row>
    <row r="482" s="1" customFormat="1" spans="1:3">
      <c r="A482" s="6" t="s">
        <v>1310</v>
      </c>
      <c r="B482" s="6" t="s">
        <v>1311</v>
      </c>
      <c r="C482" s="1" t="s">
        <v>1311</v>
      </c>
    </row>
    <row r="483" s="1" customFormat="1" spans="1:3">
      <c r="A483" s="6" t="s">
        <v>1312</v>
      </c>
      <c r="B483" s="6" t="s">
        <v>1313</v>
      </c>
      <c r="C483" s="1" t="s">
        <v>1313</v>
      </c>
    </row>
    <row r="484" s="1" customFormat="1" spans="1:3">
      <c r="A484" s="6" t="s">
        <v>1314</v>
      </c>
      <c r="B484" s="6" t="s">
        <v>1315</v>
      </c>
      <c r="C484" s="1" t="s">
        <v>1315</v>
      </c>
    </row>
    <row r="485" s="1" customFormat="1" spans="1:3">
      <c r="A485" s="6" t="s">
        <v>1316</v>
      </c>
      <c r="B485" s="6" t="s">
        <v>1317</v>
      </c>
      <c r="C485" s="1" t="s">
        <v>1317</v>
      </c>
    </row>
    <row r="486" s="1" customFormat="1" spans="1:3">
      <c r="A486" s="6" t="s">
        <v>1318</v>
      </c>
      <c r="B486" s="6" t="s">
        <v>1319</v>
      </c>
      <c r="C486" s="1" t="s">
        <v>1319</v>
      </c>
    </row>
    <row r="487" s="1" customFormat="1" spans="1:3">
      <c r="A487" s="6" t="s">
        <v>1320</v>
      </c>
      <c r="B487" s="6" t="s">
        <v>1321</v>
      </c>
      <c r="C487" s="1" t="s">
        <v>1321</v>
      </c>
    </row>
    <row r="488" s="1" customFormat="1" spans="1:3">
      <c r="A488" s="6" t="s">
        <v>1322</v>
      </c>
      <c r="B488" s="6" t="s">
        <v>1323</v>
      </c>
      <c r="C488" s="1" t="s">
        <v>1323</v>
      </c>
    </row>
    <row r="489" s="1" customFormat="1" spans="1:3">
      <c r="A489" s="6" t="s">
        <v>1324</v>
      </c>
      <c r="B489" s="6" t="s">
        <v>1325</v>
      </c>
      <c r="C489" s="1" t="s">
        <v>1325</v>
      </c>
    </row>
    <row r="490" s="1" customFormat="1" spans="1:3">
      <c r="A490" s="6" t="s">
        <v>1326</v>
      </c>
      <c r="B490" s="6" t="s">
        <v>1327</v>
      </c>
      <c r="C490" s="1" t="s">
        <v>1327</v>
      </c>
    </row>
    <row r="491" s="1" customFormat="1" spans="1:3">
      <c r="A491" s="6" t="s">
        <v>1328</v>
      </c>
      <c r="B491" s="6" t="s">
        <v>1329</v>
      </c>
      <c r="C491" s="1" t="s">
        <v>1329</v>
      </c>
    </row>
    <row r="492" s="1" customFormat="1" spans="1:3">
      <c r="A492" s="6" t="s">
        <v>1330</v>
      </c>
      <c r="B492" s="6" t="s">
        <v>1331</v>
      </c>
      <c r="C492" s="1" t="s">
        <v>1331</v>
      </c>
    </row>
    <row r="493" s="1" customFormat="1" spans="1:3">
      <c r="A493" s="6" t="s">
        <v>1332</v>
      </c>
      <c r="B493" s="6" t="s">
        <v>1333</v>
      </c>
      <c r="C493" s="1" t="s">
        <v>1333</v>
      </c>
    </row>
    <row r="494" s="1" customFormat="1" spans="1:3">
      <c r="A494" s="6" t="s">
        <v>1334</v>
      </c>
      <c r="B494" s="6" t="s">
        <v>1335</v>
      </c>
      <c r="C494" s="1" t="s">
        <v>1335</v>
      </c>
    </row>
    <row r="495" s="1" customFormat="1" spans="1:3">
      <c r="A495" s="6" t="s">
        <v>1336</v>
      </c>
      <c r="B495" s="6" t="s">
        <v>1337</v>
      </c>
      <c r="C495" s="1" t="s">
        <v>1337</v>
      </c>
    </row>
    <row r="496" s="1" customFormat="1" spans="1:3">
      <c r="A496" s="6" t="s">
        <v>1338</v>
      </c>
      <c r="B496" s="6" t="s">
        <v>1339</v>
      </c>
      <c r="C496" s="1" t="s">
        <v>1339</v>
      </c>
    </row>
    <row r="497" s="1" customFormat="1" spans="1:3">
      <c r="A497" s="6" t="s">
        <v>1340</v>
      </c>
      <c r="B497" s="6" t="s">
        <v>1341</v>
      </c>
      <c r="C497" s="1" t="s">
        <v>1341</v>
      </c>
    </row>
    <row r="498" s="1" customFormat="1" spans="1:3">
      <c r="A498" s="6" t="s">
        <v>1342</v>
      </c>
      <c r="B498" s="6" t="s">
        <v>1343</v>
      </c>
      <c r="C498" s="1" t="s">
        <v>1343</v>
      </c>
    </row>
    <row r="499" s="1" customFormat="1" spans="1:3">
      <c r="A499" s="6" t="s">
        <v>1344</v>
      </c>
      <c r="B499" s="6" t="s">
        <v>1345</v>
      </c>
      <c r="C499" s="1" t="s">
        <v>1345</v>
      </c>
    </row>
    <row r="500" s="1" customFormat="1" spans="1:3">
      <c r="A500" s="6" t="s">
        <v>1346</v>
      </c>
      <c r="B500" s="6" t="s">
        <v>1347</v>
      </c>
      <c r="C500" s="1" t="s">
        <v>1347</v>
      </c>
    </row>
    <row r="501" s="1" customFormat="1" spans="1:3">
      <c r="A501" s="6" t="s">
        <v>1348</v>
      </c>
      <c r="B501" s="6" t="s">
        <v>1349</v>
      </c>
      <c r="C501" s="1" t="s">
        <v>1350</v>
      </c>
    </row>
    <row r="502" s="1" customFormat="1" spans="1:3">
      <c r="A502" s="6" t="s">
        <v>1351</v>
      </c>
      <c r="B502" s="6" t="s">
        <v>1352</v>
      </c>
      <c r="C502" s="1" t="s">
        <v>1353</v>
      </c>
    </row>
    <row r="503" s="1" customFormat="1" spans="1:3">
      <c r="A503" s="6" t="s">
        <v>1354</v>
      </c>
      <c r="B503" s="6" t="s">
        <v>1355</v>
      </c>
      <c r="C503" s="1" t="s">
        <v>1356</v>
      </c>
    </row>
    <row r="504" s="1" customFormat="1" spans="1:3">
      <c r="A504" s="6" t="s">
        <v>1357</v>
      </c>
      <c r="B504" s="6" t="s">
        <v>1358</v>
      </c>
      <c r="C504" s="1" t="s">
        <v>1359</v>
      </c>
    </row>
    <row r="505" s="1" customFormat="1" spans="1:3">
      <c r="A505" s="6" t="s">
        <v>1360</v>
      </c>
      <c r="B505" s="6" t="s">
        <v>1361</v>
      </c>
      <c r="C505" s="1" t="s">
        <v>1362</v>
      </c>
    </row>
    <row r="506" s="1" customFormat="1" spans="1:3">
      <c r="A506" s="6" t="s">
        <v>1363</v>
      </c>
      <c r="B506" s="6" t="s">
        <v>1364</v>
      </c>
      <c r="C506" s="1" t="s">
        <v>1365</v>
      </c>
    </row>
    <row r="507" s="1" customFormat="1" spans="1:3">
      <c r="A507" s="6" t="s">
        <v>1366</v>
      </c>
      <c r="B507" s="6" t="s">
        <v>1367</v>
      </c>
      <c r="C507" s="1" t="s">
        <v>1368</v>
      </c>
    </row>
    <row r="508" s="1" customFormat="1" spans="1:3">
      <c r="A508" s="6" t="s">
        <v>1369</v>
      </c>
      <c r="B508" s="6" t="s">
        <v>1370</v>
      </c>
      <c r="C508" s="1" t="s">
        <v>1371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1"/>
  <sheetViews>
    <sheetView workbookViewId="0" showGridLines="false"/>
  </sheetViews>
  <sheetFormatPr defaultRowHeight="15.0"/>
  <cols>
    <col min="1" max="1" width="8.0" customWidth="true"/>
    <col min="2" max="2" width="12.7734375" customWidth="true"/>
    <col min="3" max="3" width="19.2578125" customWidth="true"/>
    <col min="4" max="4" width="33.81640625" customWidth="true"/>
    <col min="5" max="5" width="12.4921875" customWidth="true"/>
    <col min="6" max="6" width="21.109375" customWidth="true"/>
    <col min="8" max="8" width="32.94140625" customWidth="true"/>
    <col min="15" max="15" width="22.05078125" customWidth="true"/>
    <col min="16" max="16" width="14.9921875" customWidth="true"/>
    <col min="17" max="17" width="23.5234375" customWidth="true"/>
    <col min="18" max="18" width="21.91015625" customWidth="true"/>
    <col min="7" max="7" width="12.33984375" customWidth="true"/>
    <col min="9" max="9" width="32.94140625" customWidth="true"/>
    <col min="10" max="10" width="32.94140625" customWidth="true"/>
    <col min="11" max="11" width="11.609375" customWidth="true"/>
    <col min="12" max="12" width="27.78515625" customWidth="true"/>
    <col min="13" max="13" width="27.05859375" customWidth="true"/>
    <col min="14" max="14" width="56.91015625" customWidth="true"/>
    <col min="19" max="19" width="31.6171875" customWidth="true"/>
    <col min="20" max="20" width="27.4921875" customWidth="true"/>
    <col min="21" max="21" width="23.82421875" customWidth="true"/>
    <col min="22" max="22" width="4.83984375" customWidth="true"/>
    <col min="23" max="23" width="26.46484375" customWidth="true"/>
    <col min="24" max="24" width="26.46484375" customWidth="true"/>
    <col min="25" max="25" width="4.83984375" customWidth="true"/>
    <col min="26" max="26" width="14.2578125" customWidth="true"/>
    <col min="27" max="27" width="17.78515625" customWidth="true"/>
    <col min="28" max="28" width="31.46484375" customWidth="true"/>
    <col min="29" max="29" width="32.05859375" customWidth="true"/>
    <col min="30" max="30" width="22.19921875" customWidth="true"/>
    <col min="31" max="31" width="22.19921875" customWidth="true"/>
    <col min="32" max="32" width="15.58984375" customWidth="true"/>
    <col min="33" max="33" width="18.5234375" customWidth="true"/>
    <col min="34" max="34" width="29.55859375" customWidth="true"/>
    <col min="35" max="35" width="28.81640625" customWidth="true"/>
    <col min="36" max="36" width="9.75" customWidth="true"/>
    <col min="37" max="37" width="21.31640625" customWidth="true"/>
    <col min="38" max="38" width="20.875" customWidth="true"/>
    <col min="39" max="39" width="16.91015625" customWidth="true"/>
    <col min="40" max="40" width="17.78515625" customWidth="true"/>
    <col min="41" max="41" width="9.75" customWidth="true"/>
    <col min="42" max="42" width="9.75" customWidth="true"/>
    <col min="43" max="43" width="9.75" customWidth="true"/>
    <col min="44" max="44" width="9.75" customWidth="true"/>
    <col min="45" max="45" width="9.75" customWidth="true"/>
    <col min="46" max="46" width="9.75" customWidth="true"/>
    <col min="47" max="47" width="19.41015625" customWidth="true"/>
    <col min="48" max="48" width="19.2578125" customWidth="true"/>
    <col min="49" max="49" width="18.67578125" customWidth="true"/>
    <col min="50" max="50" width="12.640625" customWidth="true"/>
    <col min="51" max="51" width="14.2578125" customWidth="true"/>
    <col min="52" max="52" width="18.234375" customWidth="true"/>
    <col min="53" max="53" width="37.3515625" customWidth="true"/>
    <col min="54" max="54" width="9.0" customWidth="true"/>
    <col min="55" max="55" width="21.0234375" customWidth="true"/>
    <col min="56" max="56" width="9.0" customWidth="true"/>
  </cols>
  <sheetData>
    <row r="1" customHeight="true" ht="33.0">
      <c r="A1" s="7"/>
      <c r="B1" s="7" t="inlineStr">
        <is>
          <t>MAWB NO：</t>
        </is>
      </c>
      <c r="C1" s="10"/>
      <c r="D1" s="10"/>
      <c r="E1" s="7" t="inlineStr">
        <is>
          <t>FLIGHT NO：</t>
        </is>
      </c>
      <c r="F1" s="11"/>
      <c r="H1" s="7" t="inlineStr">
        <is>
          <t>ARRIVAL DATE</t>
        </is>
      </c>
      <c r="O1" s="22"/>
      <c r="P1" s="22"/>
      <c r="Q1" s="22"/>
      <c r="R1" s="22"/>
    </row>
    <row r="2" customHeight="true" ht="33.0">
      <c r="A2" s="12" t="inlineStr">
        <is>
          <t>会员编号</t>
        </is>
      </c>
      <c r="B2" s="12" t="inlineStr">
        <is>
          <t>序号</t>
        </is>
      </c>
      <c r="C2" s="10" t="inlineStr">
        <is>
          <t>HAWB番号</t>
        </is>
      </c>
      <c r="D2" s="10" t="inlineStr">
        <is>
          <t>現地問合せ番号</t>
        </is>
      </c>
      <c r="E2" s="7" t="inlineStr">
        <is>
          <t>貨物個数</t>
        </is>
      </c>
      <c r="F2" s="11" t="inlineStr">
        <is>
          <t>貨物重量</t>
        </is>
      </c>
      <c r="G2" s="7" t="inlineStr">
        <is>
          <t>重量単位コード</t>
        </is>
      </c>
      <c r="H2" s="7" t="inlineStr">
        <is>
          <t>品名</t>
        </is>
      </c>
      <c r="I2" s="7" t="inlineStr">
        <is>
          <t>材质</t>
        </is>
      </c>
      <c r="J2" s="23" t="inlineStr">
        <is>
          <t>收件人名（删）</t>
        </is>
      </c>
      <c r="K2" s="7" t="inlineStr">
        <is>
          <t>輸入者名</t>
        </is>
      </c>
      <c r="L2" s="23" t="inlineStr">
        <is>
          <t>英文邮编录入(删)</t>
        </is>
      </c>
      <c r="M2" s="23" t="inlineStr">
        <is>
          <t>收件人地址(删)2</t>
        </is>
      </c>
      <c r="N2" s="23" t="inlineStr">
        <is>
          <t>輸入者住所（删）</t>
        </is>
      </c>
      <c r="O2" s="24" t="inlineStr">
        <is>
          <t>提取门牌(删)</t>
        </is>
      </c>
      <c r="P2" s="22" t="inlineStr">
        <is>
          <t>輸入者住所</t>
        </is>
      </c>
      <c r="Q2" s="7" t="inlineStr">
        <is>
          <t>輸入者 郵便番号</t>
        </is>
      </c>
      <c r="R2" s="22" t="inlineStr">
        <is>
          <t>輸入者電話番号</t>
        </is>
      </c>
      <c r="S2" s="7" t="inlineStr">
        <is>
          <t>輸出者名</t>
        </is>
      </c>
      <c r="T2" s="7" t="inlineStr">
        <is>
          <t>輸出者住所</t>
        </is>
      </c>
      <c r="U2" s="7" t="inlineStr">
        <is>
          <t>インボイス価格条件コード</t>
        </is>
      </c>
      <c r="V2" s="7" t="inlineStr">
        <is>
          <t>インボイス通貨コード</t>
        </is>
      </c>
      <c r="W2" s="7" t="inlineStr">
        <is>
          <t>インボイス価格</t>
        </is>
      </c>
      <c r="X2" s="23" t="inlineStr">
        <is>
          <t>单价（删）</t>
        </is>
      </c>
      <c r="Y2" s="7" t="inlineStr">
        <is>
          <t>運賃区分コード</t>
        </is>
      </c>
      <c r="Z2" s="7" t="inlineStr">
        <is>
          <t>運賃通貨コード</t>
        </is>
      </c>
      <c r="AA2" s="7" t="inlineStr">
        <is>
          <t>運賃</t>
        </is>
      </c>
      <c r="AB2" s="7" t="inlineStr">
        <is>
          <t>原産地コード</t>
        </is>
      </c>
      <c r="AC2" s="7" t="inlineStr">
        <is>
          <t>備考</t>
        </is>
      </c>
      <c r="AD2" s="7" t="inlineStr">
        <is>
          <t>收件人名（日文）</t>
        </is>
      </c>
      <c r="AE2" s="7" t="inlineStr">
        <is>
          <t>收件人地址</t>
        </is>
      </c>
      <c r="AF2" s="7" t="inlineStr">
        <is>
          <t>收件人电话</t>
        </is>
      </c>
      <c r="AG2" s="7" t="inlineStr">
        <is>
          <t>收件人邮编</t>
        </is>
      </c>
      <c r="AH2" s="36" t="inlineStr">
        <is>
          <t>依赖人名</t>
        </is>
      </c>
      <c r="AI2" s="36" t="inlineStr">
        <is>
          <t>依赖人地址</t>
        </is>
      </c>
      <c r="AJ2" s="36" t="inlineStr">
        <is>
          <t>依赖人电话</t>
        </is>
      </c>
      <c r="AK2" s="37" t="inlineStr">
        <is>
          <t>收件地址识别码</t>
        </is>
      </c>
      <c r="AL2" s="38" t="inlineStr">
        <is>
          <t>电商货识别码</t>
        </is>
      </c>
      <c r="AM2" s="38" t="inlineStr">
        <is>
          <t>电商平台码</t>
        </is>
      </c>
      <c r="AN2" s="38" t="inlineStr">
        <is>
          <t>电商平台名称</t>
        </is>
      </c>
      <c r="AO2" s="40" t="inlineStr">
        <is>
          <t>系统预留列，不可使用</t>
        </is>
      </c>
      <c r="AP2" s="40"/>
      <c r="AQ2" s="40"/>
      <c r="AR2" s="40"/>
      <c r="AS2" s="40"/>
      <c r="AT2" s="40"/>
      <c r="AU2" s="7" t="inlineStr">
        <is>
          <t>收件人省州（删）</t>
        </is>
      </c>
      <c r="AV2" s="7" t="inlineStr">
        <is>
          <t>收件人城市（删）</t>
        </is>
      </c>
      <c r="AW2" s="7" t="inlineStr">
        <is>
          <t>收件人地址（删）</t>
        </is>
      </c>
      <c r="AX2" s="7" t="inlineStr">
        <is>
          <t>申报品名（删）</t>
        </is>
      </c>
      <c r="AY2" s="7" t="inlineStr">
        <is>
          <t>材质(删)</t>
        </is>
      </c>
      <c r="AZ2" s="7" t="inlineStr">
        <is>
          <t>单价（删）</t>
        </is>
      </c>
      <c r="BA2" s="7" t="inlineStr">
        <is>
          <t>发货地址（删）</t>
        </is>
      </c>
      <c r="BB2" s="7" t="inlineStr">
        <is>
          <t>发货省（删）</t>
        </is>
      </c>
      <c r="BC2" s="41" t="inlineStr">
        <is>
          <t>发货市（删）</t>
        </is>
      </c>
      <c r="BD2" s="7" t="inlineStr">
        <is>
          <t>收件人地址2（删）</t>
        </is>
      </c>
    </row>
    <row r="3" customHeight="true" ht="33.0">
      <c r="A3" s="13" t="inlineStr">
        <is>
          <t>DIDA</t>
        </is>
      </c>
      <c r="B3" s="14"/>
      <c r="C3" s="15" t="inlineStr">
        <is>
          <t>365027493316</t>
        </is>
      </c>
      <c r="D3" s="15" t="inlineStr">
        <is>
          <t>365027493316</t>
        </is>
      </c>
      <c r="E3" s="7" t="n">
        <v>1.0</v>
      </c>
      <c r="F3" s="11" t="n">
        <v>3.6</v>
      </c>
      <c r="G3" s="7" t="inlineStr">
        <is>
          <t>KGM</t>
        </is>
      </c>
      <c r="H3" s="16" t="n">
        <f>UPPER(AX3)</f>
        <v>0.0</v>
      </c>
      <c r="I3" s="16" t="n">
        <f>UPPER(AY3)</f>
        <v>0.0</v>
      </c>
      <c r="J3" s="16" t="inlineStr">
        <is>
          <t>堀 裕子 [ホリ ユウコ]</t>
        </is>
      </c>
      <c r="K3" s="25" t="n">
        <f>UPPER(J3)</f>
        <v>0.0</v>
      </c>
      <c r="L3" s="25"/>
      <c r="M3" s="26" t="n">
        <f>AU3&amp;AV3&amp;AW3&amp;BD3</f>
        <v>0.0</v>
      </c>
      <c r="N3" s="27" t="n">
        <f>UPPER(M3)</f>
        <v>0.0</v>
      </c>
      <c r="O3" s="28" t="n">
        <f>MID(N3,MIN(IFERROR(FIND({0,1,2,3,4,5,6,7,8,9},N3),LEN(N3)+1)),LEN(N3))</f>
        <v>0.0</v>
      </c>
      <c r="P3" s="28" t="n">
        <f>L3&amp;" "&amp;O3</f>
        <v>0.0</v>
      </c>
      <c r="Q3" s="27" t="inlineStr">
        <is>
          <t>182-0001</t>
        </is>
      </c>
      <c r="R3" s="30" t="inlineStr">
        <is>
          <t>090-4935-4241</t>
        </is>
      </c>
      <c r="S3" s="31" t="inlineStr">
        <is>
          <t xml:space="preserve">HUI ZHOU JING SHAN GONG MAO YOU XIAN GONG SI </t>
        </is>
      </c>
      <c r="T3" s="31" t="inlineStr">
        <is>
          <t>GUANG DONG SHENG HUI ZHOU SHI HUI CHENG QU QIAO DONG JIE DAO HUI ZHOU SHI HUI ZHOU DA DAO 108 HAO</t>
        </is>
      </c>
      <c r="U3" s="32" t="inlineStr">
        <is>
          <t>C&amp;F</t>
        </is>
      </c>
      <c r="V3" s="32" t="inlineStr">
        <is>
          <t>JPY</t>
        </is>
      </c>
      <c r="W3" s="33"/>
      <c r="X3" s="34" t="n">
        <f>INT(AZ3)</f>
        <v>0.0</v>
      </c>
      <c r="Y3" s="32" t="inlineStr">
        <is>
          <t>A</t>
        </is>
      </c>
      <c r="Z3" s="32" t="inlineStr">
        <is>
          <t>JPY</t>
        </is>
      </c>
      <c r="AA3" s="32"/>
      <c r="AB3" s="32" t="inlineStr">
        <is>
          <t>CN</t>
        </is>
      </c>
      <c r="AD3" s="27" t="inlineStr">
        <is>
          <t>堀 裕子 [ホリ ユウコ]</t>
        </is>
      </c>
      <c r="AE3" s="7" t="n">
        <f>AU3&amp;AV3&amp;AW3&amp;BD3</f>
        <v>0.0</v>
      </c>
      <c r="AF3" s="7" t="inlineStr">
        <is>
          <t>090-4935-4241</t>
        </is>
      </c>
      <c r="AG3" s="7" t="inlineStr">
        <is>
          <t>182-0001</t>
        </is>
      </c>
      <c r="AH3" s="7" t="inlineStr">
        <is>
          <t>楽天-和心-H</t>
        </is>
      </c>
      <c r="AI3" s="7" t="n">
        <f>BB3&amp;BC3&amp;BA3</f>
        <v>0.0</v>
      </c>
      <c r="AJ3" s="7" t="inlineStr">
        <is>
          <t xml:space="preserve"> 05030919965</t>
        </is>
      </c>
      <c r="AK3" s="39" t="inlineStr">
        <is>
          <t>C</t>
        </is>
      </c>
      <c r="AL3" s="39" t="n">
        <v>1.0</v>
      </c>
      <c r="AM3" s="27" t="n">
        <f>IF(OR(ISNUMBER(SEARCH("amazon",AH3)),ISNUMBER(SEARCH("亚马逊",AH3))),"PUS001",IF(OR(ISNUMBER(SEARCH("rakuten",AH3)),ISNUMBER(SEARCH("楽天",AH3)),ISNUMBER(SEARCH("乐天",AH3))),"PJP001",IF(ISNUMBER(SEARCH("tik tok shop",AH3)),"PSG003",IF(ISNUMBER(SEARCH("temu",AH3)),"PSG001",IF(ISNUMBER(SEARCH("shein",AH3)),"JSG001",IF(OR(ISNUMBER(SEARCH("yahoo",AH3)),ISNUMBER(SEARCH("雅虎",AH3)),ISNUMBER(SEARCH("雅",AH3)),LEFT(UPPER(AH3),1)="Y"),"PJP005",IF(ISNUMBER(SEARCH("DDA JAPAN",AH3)),CHOOSE(RANDBETWEEN(1,3),"temu","PSG003","PSG001"),"JCNZZZ")))))))</f>
        <v>0.0</v>
      </c>
      <c r="AN3" s="7" t="n">
        <f>IF(ISNUMBER(SEARCH("JCNZZZ",AM3)),CHOOSE(RANDBETWEEN(1,4),"TAOBAO0","JinDdong","PingDduoDduo","ALIBABA"),"")</f>
        <v>0.0</v>
      </c>
      <c r="AU3" s="7" t="inlineStr">
        <is>
          <t>東京都</t>
        </is>
      </c>
      <c r="AV3" s="7" t="inlineStr">
        <is>
          <t>調布市</t>
        </is>
      </c>
      <c r="AW3" s="7" t="inlineStr">
        <is>
          <t>緑ケ丘1-7-6（宅配ボックス希望）</t>
        </is>
      </c>
      <c r="AX3" s="7" t="inlineStr">
        <is>
          <t>Shaking table ware</t>
        </is>
      </c>
      <c r="AY3" s="7" t="inlineStr">
        <is>
          <t>ABS</t>
        </is>
      </c>
      <c r="AZ3" s="7" t="n">
        <v>25.21</v>
      </c>
      <c r="BA3" s="7" t="inlineStr">
        <is>
          <t xml:space="preserve"> 東京都稲城市平尾１－１４－１７</t>
        </is>
      </c>
      <c r="BB3" s="7"/>
      <c r="BC3" s="7"/>
      <c r="BD3" s="7"/>
    </row>
    <row r="4" customHeight="true" ht="33.0">
      <c r="A4" s="13" t="inlineStr">
        <is>
          <t>DIDA</t>
        </is>
      </c>
      <c r="B4" s="14"/>
      <c r="C4" s="15" t="inlineStr">
        <is>
          <t>365027491426</t>
        </is>
      </c>
      <c r="D4" s="15" t="inlineStr">
        <is>
          <t>365027491426</t>
        </is>
      </c>
      <c r="E4" s="7" t="n">
        <v>1.0</v>
      </c>
      <c r="F4" s="11" t="n">
        <v>0.96</v>
      </c>
      <c r="G4" s="7" t="inlineStr">
        <is>
          <t>KGM</t>
        </is>
      </c>
      <c r="H4" s="16" t="n">
        <f>UPPER(AX4)</f>
        <v>0.0</v>
      </c>
      <c r="I4" s="16" t="n">
        <f>UPPER(AY4)</f>
        <v>0.0</v>
      </c>
      <c r="J4" s="16" t="inlineStr">
        <is>
          <t>高橋 亜衣美</t>
        </is>
      </c>
      <c r="K4" s="25" t="n">
        <f>UPPER(J4)</f>
        <v>0.0</v>
      </c>
      <c r="L4" s="25"/>
      <c r="M4" s="26" t="n">
        <f>AU4&amp;AV4&amp;AW4&amp;BD4</f>
        <v>0.0</v>
      </c>
      <c r="N4" s="27" t="n">
        <f>UPPER(M4)</f>
        <v>0.0</v>
      </c>
      <c r="O4" s="28" t="n">
        <f>MID(N4,MIN(IFERROR(FIND({0,1,2,3,4,5,6,7,8,9},N4),LEN(N4)+1)),LEN(N4))</f>
        <v>0.0</v>
      </c>
      <c r="P4" s="28" t="n">
        <f>L4&amp;" "&amp;O4</f>
        <v>0.0</v>
      </c>
      <c r="Q4" s="27" t="inlineStr">
        <is>
          <t>513-1124</t>
        </is>
      </c>
      <c r="R4" s="30" t="inlineStr">
        <is>
          <t>090-9920-0455</t>
        </is>
      </c>
      <c r="S4" s="31" t="inlineStr">
        <is>
          <t xml:space="preserve">HUI ZHOU JING SHAN GONG MAO YOU XIAN GONG SI </t>
        </is>
      </c>
      <c r="T4" s="31" t="inlineStr">
        <is>
          <t>GUANG DONG SHENG HUI ZHOU SHI HUI CHENG QU QIAO DONG JIE DAO HUI ZHOU SHI HUI ZHOU DA DAO 108 HAO</t>
        </is>
      </c>
      <c r="U4" s="32" t="inlineStr">
        <is>
          <t>C&amp;F</t>
        </is>
      </c>
      <c r="V4" s="32" t="inlineStr">
        <is>
          <t>JPY</t>
        </is>
      </c>
      <c r="W4" s="33"/>
      <c r="X4" s="34" t="n">
        <f>INT(AZ4)</f>
        <v>0.0</v>
      </c>
      <c r="Y4" s="32" t="inlineStr">
        <is>
          <t>A</t>
        </is>
      </c>
      <c r="Z4" s="32" t="inlineStr">
        <is>
          <t>JPY</t>
        </is>
      </c>
      <c r="AA4" s="32"/>
      <c r="AB4" s="32" t="inlineStr">
        <is>
          <t>CN</t>
        </is>
      </c>
      <c r="AD4" s="27" t="inlineStr">
        <is>
          <t>高橋 亜衣美</t>
        </is>
      </c>
      <c r="AE4" s="7" t="n">
        <f>AU4&amp;AV4&amp;AW4&amp;BD4</f>
        <v>0.0</v>
      </c>
      <c r="AF4" s="7" t="inlineStr">
        <is>
          <t>090-9920-0455</t>
        </is>
      </c>
      <c r="AG4" s="7" t="inlineStr">
        <is>
          <t>513-1124</t>
        </is>
      </c>
      <c r="AH4" s="7" t="inlineStr">
        <is>
          <t>株式会社ｇｏｌｄ　ｒｏｏｆ</t>
        </is>
      </c>
      <c r="AI4" s="7" t="n">
        <f>BB4&amp;BC4&amp;BA4</f>
        <v>0.0</v>
      </c>
      <c r="AJ4" s="7" t="inlineStr">
        <is>
          <t xml:space="preserve"> 05031541189</t>
        </is>
      </c>
      <c r="AK4" s="39" t="inlineStr">
        <is>
          <t>C</t>
        </is>
      </c>
      <c r="AL4" s="39" t="n">
        <v>1.0</v>
      </c>
      <c r="AM4" s="27" t="n">
        <f>IF(OR(ISNUMBER(SEARCH("amazon",AH4)),ISNUMBER(SEARCH("亚马逊",AH4))),"PUS001",IF(OR(ISNUMBER(SEARCH("rakuten",AH4)),ISNUMBER(SEARCH("楽天",AH4)),ISNUMBER(SEARCH("乐天",AH4))),"PJP001",IF(ISNUMBER(SEARCH("tik tok shop",AH4)),"PSG003",IF(ISNUMBER(SEARCH("temu",AH4)),"PSG001",IF(ISNUMBER(SEARCH("shein",AH4)),"JSG001",IF(OR(ISNUMBER(SEARCH("yahoo",AH4)),ISNUMBER(SEARCH("雅虎",AH4)),ISNUMBER(SEARCH("雅",AH4)),LEFT(UPPER(AH4),1)="Y"),"PJP005",IF(ISNUMBER(SEARCH("DDA JAPAN",AH4)),CHOOSE(RANDBETWEEN(1,3),"temu","PSG003","PSG001"),"JCNZZZ")))))))</f>
        <v>0.0</v>
      </c>
      <c r="AN4" s="7" t="n">
        <f>IF(ISNUMBER(SEARCH("JCNZZZ",AM4)),CHOOSE(RANDBETWEEN(1,4),"TAOBAO0","JinDdong","PingDduoDduo","ALIBABA"),"")</f>
        <v>0.0</v>
      </c>
      <c r="AU4" s="7" t="inlineStr">
        <is>
          <t>三重県</t>
        </is>
      </c>
      <c r="AV4" s="7" t="inlineStr">
        <is>
          <t>鈴鹿市</t>
        </is>
      </c>
      <c r="AW4" s="7" t="inlineStr">
        <is>
          <t>自由ヶ丘4丁目10ー25</t>
        </is>
      </c>
      <c r="AX4" s="7" t="inlineStr">
        <is>
          <t>Airplane toy</t>
        </is>
      </c>
      <c r="AY4" s="7" t="inlineStr">
        <is>
          <t>ABS</t>
        </is>
      </c>
      <c r="AZ4" s="7" t="n">
        <v>8.0</v>
      </c>
      <c r="BA4" s="7" t="inlineStr">
        <is>
          <t xml:space="preserve"> 新宿３－７－９</t>
        </is>
      </c>
      <c r="BB4" s="7" t="inlineStr">
        <is>
          <t>東京都</t>
        </is>
      </c>
      <c r="BC4" s="7" t="inlineStr">
        <is>
          <t>新宿区</t>
        </is>
      </c>
      <c r="BD4" s="7" t="inlineStr">
        <is>
          <t/>
        </is>
      </c>
    </row>
    <row r="5" customHeight="true" ht="33.0">
      <c r="A5" s="13" t="inlineStr">
        <is>
          <t>DIDA</t>
        </is>
      </c>
      <c r="B5" s="14"/>
      <c r="C5" s="15" t="inlineStr">
        <is>
          <t>365027468912</t>
        </is>
      </c>
      <c r="D5" s="15" t="inlineStr">
        <is>
          <t>365027468912</t>
        </is>
      </c>
      <c r="E5" s="7" t="n">
        <v>1.0</v>
      </c>
      <c r="F5" s="11" t="n">
        <v>4.52</v>
      </c>
      <c r="G5" s="7" t="inlineStr">
        <is>
          <t>KGM</t>
        </is>
      </c>
      <c r="H5" s="16" t="n">
        <f>UPPER(AX5)</f>
        <v>0.0</v>
      </c>
      <c r="I5" s="16" t="n">
        <f>UPPER(AY5)</f>
        <v>0.0</v>
      </c>
      <c r="J5" s="16" t="inlineStr">
        <is>
          <t>溝川　康之</t>
        </is>
      </c>
      <c r="K5" s="25" t="n">
        <f>UPPER(J5)</f>
        <v>0.0</v>
      </c>
      <c r="L5" s="25"/>
      <c r="M5" s="26" t="n">
        <f>AU5&amp;AV5&amp;AW5&amp;BD5</f>
        <v>0.0</v>
      </c>
      <c r="N5" s="27" t="n">
        <f>UPPER(M5)</f>
        <v>0.0</v>
      </c>
      <c r="O5" s="28" t="n">
        <f>MID(N5,MIN(IFERROR(FIND({0,1,2,3,4,5,6,7,8,9},N5),LEN(N5)+1)),LEN(N5))</f>
        <v>0.0</v>
      </c>
      <c r="P5" s="28" t="n">
        <f>L5&amp;" "&amp;O5</f>
        <v>0.0</v>
      </c>
      <c r="Q5" s="27" t="inlineStr">
        <is>
          <t>899-7104</t>
        </is>
      </c>
      <c r="R5" s="30" t="inlineStr">
        <is>
          <t>08064064944</t>
        </is>
      </c>
      <c r="S5" s="31" t="inlineStr">
        <is>
          <t xml:space="preserve">HUI ZHOU JING SHAN GONG MAO YOU XIAN GONG SI </t>
        </is>
      </c>
      <c r="T5" s="31" t="inlineStr">
        <is>
          <t>GUANG DONG SHENG HUI ZHOU SHI HUI CHENG QU QIAO DONG JIE DAO HUI ZHOU SHI HUI ZHOU DA DAO 108 HAO</t>
        </is>
      </c>
      <c r="U5" s="32" t="inlineStr">
        <is>
          <t>C&amp;F</t>
        </is>
      </c>
      <c r="V5" s="32" t="inlineStr">
        <is>
          <t>JPY</t>
        </is>
      </c>
      <c r="W5" s="33"/>
      <c r="X5" s="34" t="n">
        <f>INT(AZ5)</f>
        <v>0.0</v>
      </c>
      <c r="Y5" s="32" t="inlineStr">
        <is>
          <t>A</t>
        </is>
      </c>
      <c r="Z5" s="32" t="inlineStr">
        <is>
          <t>JPY</t>
        </is>
      </c>
      <c r="AA5" s="32"/>
      <c r="AB5" s="32" t="inlineStr">
        <is>
          <t>CN</t>
        </is>
      </c>
      <c r="AD5" s="27" t="inlineStr">
        <is>
          <t>溝川　康之</t>
        </is>
      </c>
      <c r="AE5" s="7" t="n">
        <f>AU5&amp;AV5&amp;AW5&amp;BD5</f>
        <v>0.0</v>
      </c>
      <c r="AF5" s="7" t="inlineStr">
        <is>
          <t>08064064944</t>
        </is>
      </c>
      <c r="AG5" s="7" t="inlineStr">
        <is>
          <t>899-7104</t>
        </is>
      </c>
      <c r="AH5" s="7"/>
      <c r="AI5" s="7" t="n">
        <f>BB5&amp;BC5&amp;BA5</f>
        <v>0.0</v>
      </c>
      <c r="AJ5" s="7" t="inlineStr">
        <is>
          <t xml:space="preserve"> </t>
        </is>
      </c>
      <c r="AK5" s="39" t="inlineStr">
        <is>
          <t>C</t>
        </is>
      </c>
      <c r="AL5" s="39" t="n">
        <v>1.0</v>
      </c>
      <c r="AM5" s="27" t="n">
        <f>IF(OR(ISNUMBER(SEARCH("amazon",AH5)),ISNUMBER(SEARCH("亚马逊",AH5))),"PUS001",IF(OR(ISNUMBER(SEARCH("rakuten",AH5)),ISNUMBER(SEARCH("楽天",AH5)),ISNUMBER(SEARCH("乐天",AH5))),"PJP001",IF(ISNUMBER(SEARCH("tik tok shop",AH5)),"PSG003",IF(ISNUMBER(SEARCH("temu",AH5)),"PSG001",IF(ISNUMBER(SEARCH("shein",AH5)),"JSG001",IF(OR(ISNUMBER(SEARCH("yahoo",AH5)),ISNUMBER(SEARCH("雅虎",AH5)),ISNUMBER(SEARCH("雅",AH5)),LEFT(UPPER(AH5),1)="Y"),"PJP005",IF(ISNUMBER(SEARCH("DDA JAPAN",AH5)),CHOOSE(RANDBETWEEN(1,3),"temu","PSG003","PSG001"),"JCNZZZ")))))))</f>
        <v>0.0</v>
      </c>
      <c r="AN5" s="7" t="n">
        <f>IF(ISNUMBER(SEARCH("JCNZZZ",AM5)),CHOOSE(RANDBETWEEN(1,4),"TAOBAO0","JinDdong","PingDduoDduo","ALIBABA"),"")</f>
        <v>0.0</v>
      </c>
      <c r="AU5" s="7"/>
      <c r="AV5" s="7"/>
      <c r="AW5" s="7" t="inlineStr">
        <is>
          <t>志布志市志布志町安楽 1969 株式会社　溝川工業 鹿児島県</t>
        </is>
      </c>
      <c r="AX5" s="7" t="inlineStr">
        <is>
          <t>Laser Level</t>
        </is>
      </c>
      <c r="AY5" s="7" t="inlineStr">
        <is>
          <t>plastic</t>
        </is>
      </c>
      <c r="AZ5" s="7" t="n">
        <v>40.0</v>
      </c>
      <c r="BA5" s="7" t="inlineStr">
        <is>
          <t xml:space="preserve"> </t>
        </is>
      </c>
      <c r="BB5" s="7"/>
      <c r="BC5" s="7"/>
      <c r="BD5" s="7"/>
    </row>
    <row r="6" customHeight="true" ht="33.0">
      <c r="A6" s="13" t="inlineStr">
        <is>
          <t>DIDA</t>
        </is>
      </c>
      <c r="B6" s="14"/>
      <c r="C6" s="15" t="inlineStr">
        <is>
          <t>365027491511</t>
        </is>
      </c>
      <c r="D6" s="15" t="inlineStr">
        <is>
          <t>365027491511</t>
        </is>
      </c>
      <c r="E6" s="7" t="n">
        <v>1.0</v>
      </c>
      <c r="F6" s="11" t="n">
        <v>2.18</v>
      </c>
      <c r="G6" s="7" t="inlineStr">
        <is>
          <t>KGM</t>
        </is>
      </c>
      <c r="H6" s="16" t="n">
        <f>UPPER(AX6)</f>
        <v>0.0</v>
      </c>
      <c r="I6" s="16" t="n">
        <f>UPPER(AY6)</f>
        <v>0.0</v>
      </c>
      <c r="J6" s="16" t="inlineStr">
        <is>
          <t>池上 千夏</t>
        </is>
      </c>
      <c r="K6" s="25" t="n">
        <f>UPPER(J6)</f>
        <v>0.0</v>
      </c>
      <c r="L6" s="25"/>
      <c r="M6" s="26" t="n">
        <f>AU6&amp;AV6&amp;AW6&amp;BD6</f>
        <v>0.0</v>
      </c>
      <c r="N6" s="27" t="n">
        <f>UPPER(M6)</f>
        <v>0.0</v>
      </c>
      <c r="O6" s="28" t="n">
        <f>MID(N6,MIN(IFERROR(FIND({0,1,2,3,4,5,6,7,8,9},N6),LEN(N6)+1)),LEN(N6))</f>
        <v>0.0</v>
      </c>
      <c r="P6" s="28" t="n">
        <f>L6&amp;" "&amp;O6</f>
        <v>0.0</v>
      </c>
      <c r="Q6" s="27" t="inlineStr">
        <is>
          <t>227-0063</t>
        </is>
      </c>
      <c r="R6" s="30" t="inlineStr">
        <is>
          <t>045-984-0646</t>
        </is>
      </c>
      <c r="S6" s="31" t="inlineStr">
        <is>
          <t xml:space="preserve">HUI ZHOU JING SHAN GONG MAO YOU XIAN GONG SI </t>
        </is>
      </c>
      <c r="T6" s="31" t="inlineStr">
        <is>
          <t>GUANG DONG SHENG HUI ZHOU SHI HUI CHENG QU QIAO DONG JIE DAO HUI ZHOU SHI HUI ZHOU DA DAO 108 HAO</t>
        </is>
      </c>
      <c r="U6" s="32" t="inlineStr">
        <is>
          <t>C&amp;F</t>
        </is>
      </c>
      <c r="V6" s="32" t="inlineStr">
        <is>
          <t>JPY</t>
        </is>
      </c>
      <c r="W6" s="33"/>
      <c r="X6" s="34" t="n">
        <f>INT(AZ6)</f>
        <v>0.0</v>
      </c>
      <c r="Y6" s="32" t="inlineStr">
        <is>
          <t>A</t>
        </is>
      </c>
      <c r="Z6" s="32" t="inlineStr">
        <is>
          <t>JPY</t>
        </is>
      </c>
      <c r="AA6" s="32"/>
      <c r="AB6" s="32" t="inlineStr">
        <is>
          <t>CN</t>
        </is>
      </c>
      <c r="AD6" s="27" t="inlineStr">
        <is>
          <t>池上 千夏</t>
        </is>
      </c>
      <c r="AE6" s="7" t="n">
        <f>AU6&amp;AV6&amp;AW6&amp;BD6</f>
        <v>0.0</v>
      </c>
      <c r="AF6" s="7" t="inlineStr">
        <is>
          <t>045-984-0646</t>
        </is>
      </c>
      <c r="AG6" s="7" t="inlineStr">
        <is>
          <t>227-0063</t>
        </is>
      </c>
      <c r="AH6" s="7" t="inlineStr">
        <is>
          <t>深圳市金斯达实业有限公司</t>
        </is>
      </c>
      <c r="AI6" s="7" t="n">
        <f>BB6&amp;BC6&amp;BA6</f>
        <v>0.0</v>
      </c>
      <c r="AJ6" s="7" t="inlineStr">
        <is>
          <t xml:space="preserve"> 04-7137-7848</t>
        </is>
      </c>
      <c r="AK6" s="39" t="inlineStr">
        <is>
          <t>C</t>
        </is>
      </c>
      <c r="AL6" s="39" t="n">
        <v>1.0</v>
      </c>
      <c r="AM6" s="27" t="n">
        <f>IF(OR(ISNUMBER(SEARCH("amazon",AH6)),ISNUMBER(SEARCH("亚马逊",AH6))),"PUS001",IF(OR(ISNUMBER(SEARCH("rakuten",AH6)),ISNUMBER(SEARCH("楽天",AH6)),ISNUMBER(SEARCH("乐天",AH6))),"PJP001",IF(ISNUMBER(SEARCH("tik tok shop",AH6)),"PSG003",IF(ISNUMBER(SEARCH("temu",AH6)),"PSG001",IF(ISNUMBER(SEARCH("shein",AH6)),"JSG001",IF(OR(ISNUMBER(SEARCH("yahoo",AH6)),ISNUMBER(SEARCH("雅虎",AH6)),ISNUMBER(SEARCH("雅",AH6)),LEFT(UPPER(AH6),1)="Y"),"PJP005",IF(ISNUMBER(SEARCH("DDA JAPAN",AH6)),CHOOSE(RANDBETWEEN(1,3),"temu","PSG003","PSG001"),"JCNZZZ")))))))</f>
        <v>0.0</v>
      </c>
      <c r="AN6" s="7" t="n">
        <f>IF(ISNUMBER(SEARCH("JCNZZZ",AM6)),CHOOSE(RANDBETWEEN(1,4),"TAOBAO0","JinDdong","PingDduoDduo","ALIBABA"),"")</f>
        <v>0.0</v>
      </c>
      <c r="AU6" s="7" t="inlineStr">
        <is>
          <t>神奈川県</t>
        </is>
      </c>
      <c r="AV6" s="7" t="inlineStr">
        <is>
          <t>横浜市青葉区</t>
        </is>
      </c>
      <c r="AW6" s="7" t="inlineStr">
        <is>
          <t>榎が丘25-1ドレッセ青葉台プレエスタ111</t>
        </is>
      </c>
      <c r="AX6" s="7" t="inlineStr">
        <is>
          <t>Plastic toys</t>
        </is>
      </c>
      <c r="AY6" s="7" t="inlineStr">
        <is>
          <t>Plastic</t>
        </is>
      </c>
      <c r="AZ6" s="7" t="n">
        <v>10.0</v>
      </c>
      <c r="BA6" s="7" t="inlineStr">
        <is>
          <t xml:space="preserve"> 龙华区梅坂路民乐科技大厦211室</t>
        </is>
      </c>
      <c r="BB6" s="7" t="inlineStr">
        <is>
          <t>None</t>
        </is>
      </c>
      <c r="BC6" s="7" t="inlineStr">
        <is>
          <t>GuangDong</t>
        </is>
      </c>
      <c r="BD6" s="7" t="inlineStr">
        <is>
          <t/>
        </is>
      </c>
    </row>
    <row r="7" customHeight="true" ht="33.0">
      <c r="A7" s="13" t="inlineStr">
        <is>
          <t>DIDA</t>
        </is>
      </c>
      <c r="B7" s="14"/>
      <c r="C7" s="15" t="inlineStr">
        <is>
          <t>365027492690</t>
        </is>
      </c>
      <c r="D7" s="15" t="inlineStr">
        <is>
          <t>365027492690</t>
        </is>
      </c>
      <c r="E7" s="7" t="n">
        <v>1.0</v>
      </c>
      <c r="F7" s="11" t="n">
        <v>0.24</v>
      </c>
      <c r="G7" s="7" t="inlineStr">
        <is>
          <t>KGM</t>
        </is>
      </c>
      <c r="H7" s="16" t="n">
        <f>UPPER(AX7)</f>
        <v>0.0</v>
      </c>
      <c r="I7" s="16" t="n">
        <f>UPPER(AY7)</f>
        <v>0.0</v>
      </c>
      <c r="J7" s="16" t="inlineStr">
        <is>
          <t>松村 光博</t>
        </is>
      </c>
      <c r="K7" s="25" t="n">
        <f>UPPER(J7)</f>
        <v>0.0</v>
      </c>
      <c r="L7" s="25"/>
      <c r="M7" s="26" t="n">
        <f>AU7&amp;AV7&amp;AW7&amp;BD7</f>
        <v>0.0</v>
      </c>
      <c r="N7" s="27" t="n">
        <f>UPPER(M7)</f>
        <v>0.0</v>
      </c>
      <c r="O7" s="28" t="n">
        <f>MID(N7,MIN(IFERROR(FIND({0,1,2,3,4,5,6,7,8,9},N7),LEN(N7)+1)),LEN(N7))</f>
        <v>0.0</v>
      </c>
      <c r="P7" s="28" t="n">
        <f>L7&amp;" "&amp;O7</f>
        <v>0.0</v>
      </c>
      <c r="Q7" s="27" t="inlineStr">
        <is>
          <t>069-1343</t>
        </is>
      </c>
      <c r="R7" s="30" t="inlineStr">
        <is>
          <t>090-2694-3372</t>
        </is>
      </c>
      <c r="S7" s="31" t="inlineStr">
        <is>
          <t xml:space="preserve">HUI ZHOU JING SHAN GONG MAO YOU XIAN GONG SI </t>
        </is>
      </c>
      <c r="T7" s="31" t="inlineStr">
        <is>
          <t>GUANG DONG SHENG HUI ZHOU SHI HUI CHENG QU QIAO DONG JIE DAO HUI ZHOU SHI HUI ZHOU DA DAO 108 HAO</t>
        </is>
      </c>
      <c r="U7" s="32" t="inlineStr">
        <is>
          <t>C&amp;F</t>
        </is>
      </c>
      <c r="V7" s="32" t="inlineStr">
        <is>
          <t>JPY</t>
        </is>
      </c>
      <c r="W7" s="33"/>
      <c r="X7" s="34" t="n">
        <f>INT(AZ7)</f>
        <v>0.0</v>
      </c>
      <c r="Y7" s="32" t="inlineStr">
        <is>
          <t>A</t>
        </is>
      </c>
      <c r="Z7" s="32" t="inlineStr">
        <is>
          <t>JPY</t>
        </is>
      </c>
      <c r="AA7" s="32"/>
      <c r="AB7" s="32" t="inlineStr">
        <is>
          <t>CN</t>
        </is>
      </c>
      <c r="AD7" s="27" t="inlineStr">
        <is>
          <t>松村 光博</t>
        </is>
      </c>
      <c r="AE7" s="7" t="n">
        <f>AU7&amp;AV7&amp;AW7&amp;BD7</f>
        <v>0.0</v>
      </c>
      <c r="AF7" s="7" t="inlineStr">
        <is>
          <t>090-2694-3372</t>
        </is>
      </c>
      <c r="AG7" s="7" t="inlineStr">
        <is>
          <t>069-1343</t>
        </is>
      </c>
      <c r="AH7" s="7" t="inlineStr">
        <is>
          <t>JETMILLIO楽天市場店</t>
        </is>
      </c>
      <c r="AI7" s="7" t="n">
        <f>BB7&amp;BC7&amp;BA7</f>
        <v>0.0</v>
      </c>
      <c r="AJ7" s="7" t="inlineStr">
        <is>
          <t xml:space="preserve"> 050-3181-9787</t>
        </is>
      </c>
      <c r="AK7" s="39" t="inlineStr">
        <is>
          <t>C</t>
        </is>
      </c>
      <c r="AL7" s="39" t="n">
        <v>1.0</v>
      </c>
      <c r="AM7" s="27" t="n">
        <f>IF(OR(ISNUMBER(SEARCH("amazon",AH7)),ISNUMBER(SEARCH("亚马逊",AH7))),"PUS001",IF(OR(ISNUMBER(SEARCH("rakuten",AH7)),ISNUMBER(SEARCH("楽天",AH7)),ISNUMBER(SEARCH("乐天",AH7))),"PJP001",IF(ISNUMBER(SEARCH("tik tok shop",AH7)),"PSG003",IF(ISNUMBER(SEARCH("temu",AH7)),"PSG001",IF(ISNUMBER(SEARCH("shein",AH7)),"JSG001",IF(OR(ISNUMBER(SEARCH("yahoo",AH7)),ISNUMBER(SEARCH("雅虎",AH7)),ISNUMBER(SEARCH("雅",AH7)),LEFT(UPPER(AH7),1)="Y"),"PJP005",IF(ISNUMBER(SEARCH("DDA JAPAN",AH7)),CHOOSE(RANDBETWEEN(1,3),"temu","PSG003","PSG001"),"JCNZZZ")))))))</f>
        <v>0.0</v>
      </c>
      <c r="AN7" s="7" t="n">
        <f>IF(ISNUMBER(SEARCH("JCNZZZ",AM7)),CHOOSE(RANDBETWEEN(1,4),"TAOBAO0","JinDdong","PingDduoDduo","ALIBABA"),"")</f>
        <v>0.0</v>
      </c>
      <c r="AU7" s="7" t="inlineStr">
        <is>
          <t>北海道</t>
        </is>
      </c>
      <c r="AV7" s="7" t="inlineStr">
        <is>
          <t>夕張郡長沼町</t>
        </is>
      </c>
      <c r="AW7" s="7" t="inlineStr">
        <is>
          <t>旭町北1丁目3ー17</t>
        </is>
      </c>
      <c r="AX7" s="7" t="inlineStr">
        <is>
          <t>LED lights</t>
        </is>
      </c>
      <c r="AY7" s="7" t="inlineStr">
        <is>
          <t>Wooden</t>
        </is>
      </c>
      <c r="AZ7" s="7" t="n">
        <v>17.0</v>
      </c>
      <c r="BA7" s="7" t="inlineStr">
        <is>
          <t xml:space="preserve"> 東京都大田区上池台３－２４－１４スターハイツ洗足池２　２０２</t>
        </is>
      </c>
      <c r="BB7" s="7"/>
      <c r="BC7" s="7"/>
      <c r="BD7" s="7"/>
    </row>
    <row r="8" customHeight="true" ht="33.0">
      <c r="A8" s="13" t="inlineStr">
        <is>
          <t>DIDA</t>
        </is>
      </c>
      <c r="B8" s="14"/>
      <c r="C8" s="15" t="inlineStr">
        <is>
          <t>365027493283</t>
        </is>
      </c>
      <c r="D8" s="15" t="inlineStr">
        <is>
          <t>365027493283</t>
        </is>
      </c>
      <c r="E8" s="7" t="n">
        <v>1.0</v>
      </c>
      <c r="F8" s="11" t="n">
        <v>2.07</v>
      </c>
      <c r="G8" s="7" t="inlineStr">
        <is>
          <t>KGM</t>
        </is>
      </c>
      <c r="H8" s="16" t="n">
        <f>UPPER(AX8)</f>
        <v>0.0</v>
      </c>
      <c r="I8" s="16" t="n">
        <f>UPPER(AY8)</f>
        <v>0.0</v>
      </c>
      <c r="J8" s="16" t="inlineStr">
        <is>
          <t>目片 まゆみ</t>
        </is>
      </c>
      <c r="K8" s="25" t="n">
        <f>UPPER(J8)</f>
        <v>0.0</v>
      </c>
      <c r="L8" s="25"/>
      <c r="M8" s="26" t="n">
        <f>AU8&amp;AV8&amp;AW8&amp;BD8</f>
        <v>0.0</v>
      </c>
      <c r="N8" s="27" t="n">
        <f>UPPER(M8)</f>
        <v>0.0</v>
      </c>
      <c r="O8" s="28" t="n">
        <f>MID(N8,MIN(IFERROR(FIND({0,1,2,3,4,5,6,7,8,9},N8),LEN(N8)+1)),LEN(N8))</f>
        <v>0.0</v>
      </c>
      <c r="P8" s="28" t="n">
        <f>L8&amp;" "&amp;O8</f>
        <v>0.0</v>
      </c>
      <c r="Q8" s="27" t="inlineStr">
        <is>
          <t>529-1804</t>
        </is>
      </c>
      <c r="R8" s="30" t="inlineStr">
        <is>
          <t>0748-60-4005</t>
        </is>
      </c>
      <c r="S8" s="31" t="inlineStr">
        <is>
          <t xml:space="preserve">HUI ZHOU JING SHAN GONG MAO YOU XIAN GONG SI </t>
        </is>
      </c>
      <c r="T8" s="31" t="inlineStr">
        <is>
          <t>GUANG DONG SHENG HUI ZHOU SHI HUI CHENG QU QIAO DONG JIE DAO HUI ZHOU SHI HUI ZHOU DA DAO 108 HAO</t>
        </is>
      </c>
      <c r="U8" s="32" t="inlineStr">
        <is>
          <t>C&amp;F</t>
        </is>
      </c>
      <c r="V8" s="32" t="inlineStr">
        <is>
          <t>JPY</t>
        </is>
      </c>
      <c r="W8" s="33"/>
      <c r="X8" s="34" t="n">
        <f>INT(AZ8)</f>
        <v>0.0</v>
      </c>
      <c r="Y8" s="32" t="inlineStr">
        <is>
          <t>A</t>
        </is>
      </c>
      <c r="Z8" s="32" t="inlineStr">
        <is>
          <t>JPY</t>
        </is>
      </c>
      <c r="AA8" s="32"/>
      <c r="AB8" s="32" t="inlineStr">
        <is>
          <t>CN</t>
        </is>
      </c>
      <c r="AD8" s="27" t="inlineStr">
        <is>
          <t>目片 まゆみ</t>
        </is>
      </c>
      <c r="AE8" s="7" t="n">
        <f>AU8&amp;AV8&amp;AW8&amp;BD8</f>
        <v>0.0</v>
      </c>
      <c r="AF8" s="7" t="inlineStr">
        <is>
          <t>0748-60-4005</t>
        </is>
      </c>
      <c r="AG8" s="7" t="inlineStr">
        <is>
          <t>529-1804</t>
        </is>
      </c>
      <c r="AH8" s="7" t="inlineStr">
        <is>
          <t>I.M.P楽天市場店</t>
        </is>
      </c>
      <c r="AI8" s="7" t="n">
        <f>BB8&amp;BC8&amp;BA8</f>
        <v>0.0</v>
      </c>
      <c r="AJ8" s="7" t="inlineStr">
        <is>
          <t xml:space="preserve"> 050-3092-1704</t>
        </is>
      </c>
      <c r="AK8" s="39" t="inlineStr">
        <is>
          <t>C</t>
        </is>
      </c>
      <c r="AL8" s="39" t="n">
        <v>1.0</v>
      </c>
      <c r="AM8" s="27" t="n">
        <f>IF(OR(ISNUMBER(SEARCH("amazon",AH8)),ISNUMBER(SEARCH("亚马逊",AH8))),"PUS001",IF(OR(ISNUMBER(SEARCH("rakuten",AH8)),ISNUMBER(SEARCH("楽天",AH8)),ISNUMBER(SEARCH("乐天",AH8))),"PJP001",IF(ISNUMBER(SEARCH("tik tok shop",AH8)),"PSG003",IF(ISNUMBER(SEARCH("temu",AH8)),"PSG001",IF(ISNUMBER(SEARCH("shein",AH8)),"JSG001",IF(OR(ISNUMBER(SEARCH("yahoo",AH8)),ISNUMBER(SEARCH("雅虎",AH8)),ISNUMBER(SEARCH("雅",AH8)),LEFT(UPPER(AH8),1)="Y"),"PJP005",IF(ISNUMBER(SEARCH("DDA JAPAN",AH8)),CHOOSE(RANDBETWEEN(1,3),"temu","PSG003","PSG001"),"JCNZZZ")))))))</f>
        <v>0.0</v>
      </c>
      <c r="AN8" s="7" t="n">
        <f>IF(ISNUMBER(SEARCH("JCNZZZ",AM8)),CHOOSE(RANDBETWEEN(1,4),"TAOBAO0","JinDdong","PingDduoDduo","ALIBABA"),"")</f>
        <v>0.0</v>
      </c>
      <c r="AU8" s="7" t="inlineStr">
        <is>
          <t>滋賀県</t>
        </is>
      </c>
      <c r="AV8" s="7" t="inlineStr">
        <is>
          <t>甲賀市</t>
        </is>
      </c>
      <c r="AW8" s="7" t="inlineStr">
        <is>
          <t>信楽町勅旨1993 ギャラリーきりん</t>
        </is>
      </c>
      <c r="AX8" s="7" t="inlineStr">
        <is>
          <t>Plastic corner protectors</t>
        </is>
      </c>
      <c r="AY8" s="7" t="inlineStr">
        <is>
          <t>plastics</t>
        </is>
      </c>
      <c r="AZ8" s="7" t="n">
        <v>12.0</v>
      </c>
      <c r="BA8" s="7" t="inlineStr">
        <is>
          <t xml:space="preserve"> 滋賀県甲賀市甲南町野尻558</t>
        </is>
      </c>
      <c r="BB8" s="7"/>
      <c r="BC8" s="7"/>
      <c r="BD8" s="7"/>
    </row>
    <row r="9" customHeight="true" ht="33.0">
      <c r="A9" s="13" t="inlineStr">
        <is>
          <t>DIDA</t>
        </is>
      </c>
      <c r="B9" s="14"/>
      <c r="C9" s="15" t="inlineStr">
        <is>
          <t>365027492966</t>
        </is>
      </c>
      <c r="D9" s="15" t="inlineStr">
        <is>
          <t>365027492966</t>
        </is>
      </c>
      <c r="E9" s="7" t="n">
        <v>1.0</v>
      </c>
      <c r="F9" s="11" t="n">
        <v>1.2</v>
      </c>
      <c r="G9" s="7" t="inlineStr">
        <is>
          <t>KGM</t>
        </is>
      </c>
      <c r="H9" s="16" t="n">
        <f>UPPER(AX9)</f>
        <v>0.0</v>
      </c>
      <c r="I9" s="16" t="n">
        <f>UPPER(AY9)</f>
        <v>0.0</v>
      </c>
      <c r="J9" s="16" t="inlineStr">
        <is>
          <t>株式会社 東海カンパニー</t>
        </is>
      </c>
      <c r="K9" s="25" t="n">
        <f>UPPER(J9)</f>
        <v>0.0</v>
      </c>
      <c r="L9" s="25"/>
      <c r="M9" s="26" t="n">
        <f>AU9&amp;AV9&amp;AW9&amp;BD9</f>
        <v>0.0</v>
      </c>
      <c r="N9" s="27" t="n">
        <f>UPPER(M9)</f>
        <v>0.0</v>
      </c>
      <c r="O9" s="28" t="n">
        <f>MID(N9,MIN(IFERROR(FIND({0,1,2,3,4,5,6,7,8,9},N9),LEN(N9)+1)),LEN(N9))</f>
        <v>0.0</v>
      </c>
      <c r="P9" s="28" t="n">
        <f>L9&amp;" "&amp;O9</f>
        <v>0.0</v>
      </c>
      <c r="Q9" s="27" t="inlineStr">
        <is>
          <t>473-0908</t>
        </is>
      </c>
      <c r="R9" s="30" t="inlineStr">
        <is>
          <t>0565-24-4111</t>
        </is>
      </c>
      <c r="S9" s="31" t="inlineStr">
        <is>
          <t xml:space="preserve">HUI ZHOU JING SHAN GONG MAO YOU XIAN GONG SI </t>
        </is>
      </c>
      <c r="T9" s="31" t="inlineStr">
        <is>
          <t>GUANG DONG SHENG HUI ZHOU SHI HUI CHENG QU QIAO DONG JIE DAO HUI ZHOU SHI HUI ZHOU DA DAO 108 HAO</t>
        </is>
      </c>
      <c r="U9" s="32" t="inlineStr">
        <is>
          <t>C&amp;F</t>
        </is>
      </c>
      <c r="V9" s="32" t="inlineStr">
        <is>
          <t>JPY</t>
        </is>
      </c>
      <c r="W9" s="33"/>
      <c r="X9" s="34" t="n">
        <f>INT(AZ9)</f>
        <v>0.0</v>
      </c>
      <c r="Y9" s="32" t="inlineStr">
        <is>
          <t>A</t>
        </is>
      </c>
      <c r="Z9" s="32" t="inlineStr">
        <is>
          <t>JPY</t>
        </is>
      </c>
      <c r="AA9" s="32"/>
      <c r="AB9" s="32" t="inlineStr">
        <is>
          <t>CN</t>
        </is>
      </c>
      <c r="AD9" s="27" t="inlineStr">
        <is>
          <t>株式会社 東海カンパニー</t>
        </is>
      </c>
      <c r="AE9" s="7" t="n">
        <f>AU9&amp;AV9&amp;AW9&amp;BD9</f>
        <v>0.0</v>
      </c>
      <c r="AF9" s="7" t="inlineStr">
        <is>
          <t>0565-24-4111</t>
        </is>
      </c>
      <c r="AG9" s="7" t="inlineStr">
        <is>
          <t>473-0908</t>
        </is>
      </c>
      <c r="AH9" s="7" t="inlineStr">
        <is>
          <t>I.M.P楽天市場店</t>
        </is>
      </c>
      <c r="AI9" s="7" t="n">
        <f>BB9&amp;BC9&amp;BA9</f>
        <v>0.0</v>
      </c>
      <c r="AJ9" s="7" t="inlineStr">
        <is>
          <t xml:space="preserve"> 050-3092-1704</t>
        </is>
      </c>
      <c r="AK9" s="39" t="inlineStr">
        <is>
          <t>C</t>
        </is>
      </c>
      <c r="AL9" s="39" t="n">
        <v>1.0</v>
      </c>
      <c r="AM9" s="27" t="n">
        <f>IF(OR(ISNUMBER(SEARCH("amazon",AH9)),ISNUMBER(SEARCH("亚马逊",AH9))),"PUS001",IF(OR(ISNUMBER(SEARCH("rakuten",AH9)),ISNUMBER(SEARCH("楽天",AH9)),ISNUMBER(SEARCH("乐天",AH9))),"PJP001",IF(ISNUMBER(SEARCH("tik tok shop",AH9)),"PSG003",IF(ISNUMBER(SEARCH("temu",AH9)),"PSG001",IF(ISNUMBER(SEARCH("shein",AH9)),"JSG001",IF(OR(ISNUMBER(SEARCH("yahoo",AH9)),ISNUMBER(SEARCH("雅虎",AH9)),ISNUMBER(SEARCH("雅",AH9)),LEFT(UPPER(AH9),1)="Y"),"PJP005",IF(ISNUMBER(SEARCH("DDA JAPAN",AH9)),CHOOSE(RANDBETWEEN(1,3),"temu","PSG003","PSG001"),"JCNZZZ")))))))</f>
        <v>0.0</v>
      </c>
      <c r="AN9" s="7" t="n">
        <f>IF(ISNUMBER(SEARCH("JCNZZZ",AM9)),CHOOSE(RANDBETWEEN(1,4),"TAOBAO0","JinDdong","PingDduoDduo","ALIBABA"),"")</f>
        <v>0.0</v>
      </c>
      <c r="AU9" s="7" t="inlineStr">
        <is>
          <t>愛知県</t>
        </is>
      </c>
      <c r="AV9" s="7" t="inlineStr">
        <is>
          <t>豊田市</t>
        </is>
      </c>
      <c r="AW9" s="7" t="inlineStr">
        <is>
          <t>宝町東田25番地</t>
        </is>
      </c>
      <c r="AX9" s="7" t="inlineStr">
        <is>
          <t>clothes</t>
        </is>
      </c>
      <c r="AY9" s="7" t="inlineStr">
        <is>
          <t xml:space="preserve">Polyester; </t>
        </is>
      </c>
      <c r="AZ9" s="7" t="n">
        <v>13.0</v>
      </c>
      <c r="BA9" s="7" t="inlineStr">
        <is>
          <t xml:space="preserve"> 滋賀県甲賀市甲南町野尻558</t>
        </is>
      </c>
      <c r="BB9" s="7"/>
      <c r="BC9" s="7"/>
      <c r="BD9" s="7"/>
    </row>
    <row r="10" customHeight="true" ht="33.0">
      <c r="A10" s="13" t="inlineStr">
        <is>
          <t>DIDA</t>
        </is>
      </c>
      <c r="B10" s="14"/>
      <c r="C10" s="15" t="inlineStr">
        <is>
          <t>365027492793</t>
        </is>
      </c>
      <c r="D10" s="15" t="inlineStr">
        <is>
          <t>365027492793</t>
        </is>
      </c>
      <c r="E10" s="7" t="n">
        <v>1.0</v>
      </c>
      <c r="F10" s="11" t="n">
        <v>0.93</v>
      </c>
      <c r="G10" s="7" t="inlineStr">
        <is>
          <t>KGM</t>
        </is>
      </c>
      <c r="H10" s="16" t="n">
        <f>UPPER(AX10)</f>
        <v>0.0</v>
      </c>
      <c r="I10" s="16" t="n">
        <f>UPPER(AY10)</f>
        <v>0.0</v>
      </c>
      <c r="J10" s="16" t="inlineStr">
        <is>
          <t>廣岡 美鈴</t>
        </is>
      </c>
      <c r="K10" s="25" t="n">
        <f>UPPER(J10)</f>
        <v>0.0</v>
      </c>
      <c r="L10" s="25"/>
      <c r="M10" s="26" t="n">
        <f>AU10&amp;AV10&amp;AW10&amp;BD10</f>
        <v>0.0</v>
      </c>
      <c r="N10" s="27" t="n">
        <f>UPPER(M10)</f>
        <v>0.0</v>
      </c>
      <c r="O10" s="28" t="n">
        <f>MID(N10,MIN(IFERROR(FIND({0,1,2,3,4,5,6,7,8,9},N10),LEN(N10)+1)),LEN(N10))</f>
        <v>0.0</v>
      </c>
      <c r="P10" s="28" t="n">
        <f>L10&amp;" "&amp;O10</f>
        <v>0.0</v>
      </c>
      <c r="Q10" s="27" t="inlineStr">
        <is>
          <t>620-0342</t>
        </is>
      </c>
      <c r="R10" s="30" t="inlineStr">
        <is>
          <t>090-5056-3784</t>
        </is>
      </c>
      <c r="S10" s="31" t="inlineStr">
        <is>
          <t xml:space="preserve">HUI ZHOU JING SHAN GONG MAO YOU XIAN GONG SI </t>
        </is>
      </c>
      <c r="T10" s="31" t="inlineStr">
        <is>
          <t>GUANG DONG SHENG HUI ZHOU SHI HUI CHENG QU QIAO DONG JIE DAO HUI ZHOU SHI HUI ZHOU DA DAO 108 HAO</t>
        </is>
      </c>
      <c r="U10" s="32" t="inlineStr">
        <is>
          <t>C&amp;F</t>
        </is>
      </c>
      <c r="V10" s="32" t="inlineStr">
        <is>
          <t>JPY</t>
        </is>
      </c>
      <c r="W10" s="33"/>
      <c r="X10" s="34" t="n">
        <f>INT(AZ10)</f>
        <v>0.0</v>
      </c>
      <c r="Y10" s="32" t="inlineStr">
        <is>
          <t>A</t>
        </is>
      </c>
      <c r="Z10" s="32" t="inlineStr">
        <is>
          <t>JPY</t>
        </is>
      </c>
      <c r="AA10" s="32"/>
      <c r="AB10" s="32" t="inlineStr">
        <is>
          <t>CN</t>
        </is>
      </c>
      <c r="AD10" s="27" t="inlineStr">
        <is>
          <t>廣岡 美鈴</t>
        </is>
      </c>
      <c r="AE10" s="7" t="n">
        <f>AU10&amp;AV10&amp;AW10&amp;BD10</f>
        <v>0.0</v>
      </c>
      <c r="AF10" s="7" t="inlineStr">
        <is>
          <t>090-5056-3784</t>
        </is>
      </c>
      <c r="AG10" s="7" t="inlineStr">
        <is>
          <t>620-0342</t>
        </is>
      </c>
      <c r="AH10" s="7" t="inlineStr">
        <is>
          <t>UT.village</t>
        </is>
      </c>
      <c r="AI10" s="7" t="n">
        <f>BB10&amp;BC10&amp;BA10</f>
        <v>0.0</v>
      </c>
      <c r="AJ10" s="7" t="inlineStr">
        <is>
          <t xml:space="preserve"> 05030979484</t>
        </is>
      </c>
      <c r="AK10" s="39" t="inlineStr">
        <is>
          <t>C</t>
        </is>
      </c>
      <c r="AL10" s="39" t="n">
        <v>1.0</v>
      </c>
      <c r="AM10" s="27" t="n">
        <f>IF(OR(ISNUMBER(SEARCH("amazon",AH10)),ISNUMBER(SEARCH("亚马逊",AH10))),"PUS001",IF(OR(ISNUMBER(SEARCH("rakuten",AH10)),ISNUMBER(SEARCH("楽天",AH10)),ISNUMBER(SEARCH("乐天",AH10))),"PJP001",IF(ISNUMBER(SEARCH("tik tok shop",AH10)),"PSG003",IF(ISNUMBER(SEARCH("temu",AH10)),"PSG001",IF(ISNUMBER(SEARCH("shein",AH10)),"JSG001",IF(OR(ISNUMBER(SEARCH("yahoo",AH10)),ISNUMBER(SEARCH("雅虎",AH10)),ISNUMBER(SEARCH("雅",AH10)),LEFT(UPPER(AH10),1)="Y"),"PJP005",IF(ISNUMBER(SEARCH("DDA JAPAN",AH10)),CHOOSE(RANDBETWEEN(1,3),"temu","PSG003","PSG001"),"JCNZZZ")))))))</f>
        <v>0.0</v>
      </c>
      <c r="AN10" s="7" t="n">
        <f>IF(ISNUMBER(SEARCH("JCNZZZ",AM10)),CHOOSE(RANDBETWEEN(1,4),"TAOBAO0","JinDdong","PingDduoDduo","ALIBABA"),"")</f>
        <v>0.0</v>
      </c>
      <c r="AU10" s="7" t="inlineStr">
        <is>
          <t>京都府</t>
        </is>
      </c>
      <c r="AV10" s="7" t="inlineStr">
        <is>
          <t>福知山市</t>
        </is>
      </c>
      <c r="AW10" s="7" t="inlineStr">
        <is>
          <t>大江町南有路1208</t>
        </is>
      </c>
      <c r="AX10" s="7" t="inlineStr">
        <is>
          <t>DIY Tools,Waterproof coating</t>
        </is>
      </c>
      <c r="AY10" s="7" t="inlineStr">
        <is>
          <t>PE</t>
        </is>
      </c>
      <c r="AZ10" s="7" t="n">
        <v>12.0</v>
      </c>
      <c r="BA10" s="7" t="inlineStr">
        <is>
          <t xml:space="preserve"> 神奈川県川崎市高津区下作延２－２２－５クレイノアクアパレス２０５</t>
        </is>
      </c>
      <c r="BB10" s="7"/>
      <c r="BC10" s="7"/>
      <c r="BD10" s="7"/>
    </row>
    <row r="11" customHeight="true" ht="33.0">
      <c r="A11" s="13" t="inlineStr">
        <is>
          <t>DIDA</t>
        </is>
      </c>
      <c r="B11" s="14"/>
      <c r="C11" s="15" t="inlineStr">
        <is>
          <t>365027492874</t>
        </is>
      </c>
      <c r="D11" s="15" t="inlineStr">
        <is>
          <t>365027492874</t>
        </is>
      </c>
      <c r="E11" s="7" t="n">
        <v>1.0</v>
      </c>
      <c r="F11" s="11" t="n">
        <v>0.28</v>
      </c>
      <c r="G11" s="7" t="inlineStr">
        <is>
          <t>KGM</t>
        </is>
      </c>
      <c r="H11" s="16" t="n">
        <f>UPPER(AX11)</f>
        <v>0.0</v>
      </c>
      <c r="I11" s="16" t="n">
        <f>UPPER(AY11)</f>
        <v>0.0</v>
      </c>
      <c r="J11" s="16" t="inlineStr">
        <is>
          <t>佐藤 蛍</t>
        </is>
      </c>
      <c r="K11" s="25" t="n">
        <f>UPPER(J11)</f>
        <v>0.0</v>
      </c>
      <c r="L11" s="25"/>
      <c r="M11" s="26" t="n">
        <f>AU11&amp;AV11&amp;AW11&amp;BD11</f>
        <v>0.0</v>
      </c>
      <c r="N11" s="27" t="n">
        <f>UPPER(M11)</f>
        <v>0.0</v>
      </c>
      <c r="O11" s="28" t="n">
        <f>MID(N11,MIN(IFERROR(FIND({0,1,2,3,4,5,6,7,8,9},N11),LEN(N11)+1)),LEN(N11))</f>
        <v>0.0</v>
      </c>
      <c r="P11" s="28" t="n">
        <f>L11&amp;" "&amp;O11</f>
        <v>0.0</v>
      </c>
      <c r="Q11" s="27" t="inlineStr">
        <is>
          <t>041-1603</t>
        </is>
      </c>
      <c r="R11" s="30" t="inlineStr">
        <is>
          <t>080-1872-0576</t>
        </is>
      </c>
      <c r="S11" s="31" t="inlineStr">
        <is>
          <t xml:space="preserve">HUI ZHOU JING SHAN GONG MAO YOU XIAN GONG SI </t>
        </is>
      </c>
      <c r="T11" s="31" t="inlineStr">
        <is>
          <t>GUANG DONG SHENG HUI ZHOU SHI HUI CHENG QU QIAO DONG JIE DAO HUI ZHOU SHI HUI ZHOU DA DAO 108 HAO</t>
        </is>
      </c>
      <c r="U11" s="32" t="inlineStr">
        <is>
          <t>C&amp;F</t>
        </is>
      </c>
      <c r="V11" s="32" t="inlineStr">
        <is>
          <t>JPY</t>
        </is>
      </c>
      <c r="W11" s="33"/>
      <c r="X11" s="34" t="n">
        <f>INT(AZ11)</f>
        <v>0.0</v>
      </c>
      <c r="Y11" s="32" t="inlineStr">
        <is>
          <t>A</t>
        </is>
      </c>
      <c r="Z11" s="32" t="inlineStr">
        <is>
          <t>JPY</t>
        </is>
      </c>
      <c r="AA11" s="32"/>
      <c r="AB11" s="32" t="inlineStr">
        <is>
          <t>CN</t>
        </is>
      </c>
      <c r="AD11" s="27" t="inlineStr">
        <is>
          <t>佐藤 蛍</t>
        </is>
      </c>
      <c r="AE11" s="7" t="n">
        <f>AU11&amp;AV11&amp;AW11&amp;BD11</f>
        <v>0.0</v>
      </c>
      <c r="AF11" s="7" t="inlineStr">
        <is>
          <t>080-1872-0576</t>
        </is>
      </c>
      <c r="AG11" s="7" t="inlineStr">
        <is>
          <t>041-1603</t>
        </is>
      </c>
      <c r="AH11" s="7" t="inlineStr">
        <is>
          <t>UT.village</t>
        </is>
      </c>
      <c r="AI11" s="7" t="n">
        <f>BB11&amp;BC11&amp;BA11</f>
        <v>0.0</v>
      </c>
      <c r="AJ11" s="7" t="inlineStr">
        <is>
          <t xml:space="preserve"> 05030979484</t>
        </is>
      </c>
      <c r="AK11" s="39" t="inlineStr">
        <is>
          <t>C</t>
        </is>
      </c>
      <c r="AL11" s="39" t="n">
        <v>1.0</v>
      </c>
      <c r="AM11" s="27" t="n">
        <f>IF(OR(ISNUMBER(SEARCH("amazon",AH11)),ISNUMBER(SEARCH("亚马逊",AH11))),"PUS001",IF(OR(ISNUMBER(SEARCH("rakuten",AH11)),ISNUMBER(SEARCH("楽天",AH11)),ISNUMBER(SEARCH("乐天",AH11))),"PJP001",IF(ISNUMBER(SEARCH("tik tok shop",AH11)),"PSG003",IF(ISNUMBER(SEARCH("temu",AH11)),"PSG001",IF(ISNUMBER(SEARCH("shein",AH11)),"JSG001",IF(OR(ISNUMBER(SEARCH("yahoo",AH11)),ISNUMBER(SEARCH("雅虎",AH11)),ISNUMBER(SEARCH("雅",AH11)),LEFT(UPPER(AH11),1)="Y"),"PJP005",IF(ISNUMBER(SEARCH("DDA JAPAN",AH11)),CHOOSE(RANDBETWEEN(1,3),"temu","PSG003","PSG001"),"JCNZZZ")))))))</f>
        <v>0.0</v>
      </c>
      <c r="AN11" s="7" t="n">
        <f>IF(ISNUMBER(SEARCH("JCNZZZ",AM11)),CHOOSE(RANDBETWEEN(1,4),"TAOBAO0","JinDdong","PingDduoDduo","ALIBABA"),"")</f>
        <v>0.0</v>
      </c>
      <c r="AU11" s="7" t="inlineStr">
        <is>
          <t>北海道</t>
        </is>
      </c>
      <c r="AV11" s="7" t="inlineStr">
        <is>
          <t>函館市</t>
        </is>
      </c>
      <c r="AW11" s="7" t="inlineStr">
        <is>
          <t>尾札部町1945-3</t>
        </is>
      </c>
      <c r="AX11" s="7" t="inlineStr">
        <is>
          <t>Jewelry Box</t>
        </is>
      </c>
      <c r="AY11" s="7" t="inlineStr">
        <is>
          <t>Metal</t>
        </is>
      </c>
      <c r="AZ11" s="7" t="n">
        <v>15.0</v>
      </c>
      <c r="BA11" s="7" t="inlineStr">
        <is>
          <t xml:space="preserve"> 神奈川県川崎市高津区下作延２－２２－５クレイノアクアパレス２０５</t>
        </is>
      </c>
      <c r="BB11" s="7"/>
      <c r="BC11" s="7"/>
      <c r="BD11" s="7"/>
    </row>
    <row r="12" customHeight="true" ht="33.0">
      <c r="A12" s="13" t="inlineStr">
        <is>
          <t>DIDA</t>
        </is>
      </c>
      <c r="B12" s="14"/>
      <c r="C12" s="15" t="inlineStr">
        <is>
          <t>365027493320</t>
        </is>
      </c>
      <c r="D12" s="15" t="inlineStr">
        <is>
          <t>365027493320</t>
        </is>
      </c>
      <c r="E12" s="7" t="n">
        <v>1.0</v>
      </c>
      <c r="F12" s="11" t="n">
        <v>0.85</v>
      </c>
      <c r="G12" s="7" t="inlineStr">
        <is>
          <t>KGM</t>
        </is>
      </c>
      <c r="H12" s="16" t="n">
        <f>UPPER(AX12)</f>
        <v>0.0</v>
      </c>
      <c r="I12" s="16" t="n">
        <f>UPPER(AY12)</f>
        <v>0.0</v>
      </c>
      <c r="J12" s="16" t="inlineStr">
        <is>
          <t>阪ノ下 芽美 [サカノシタ メイミ]</t>
        </is>
      </c>
      <c r="K12" s="25" t="n">
        <f>UPPER(J12)</f>
        <v>0.0</v>
      </c>
      <c r="L12" s="25"/>
      <c r="M12" s="26" t="n">
        <f>AU12&amp;AV12&amp;AW12&amp;BD12</f>
        <v>0.0</v>
      </c>
      <c r="N12" s="27" t="n">
        <f>UPPER(M12)</f>
        <v>0.0</v>
      </c>
      <c r="O12" s="28" t="n">
        <f>MID(N12,MIN(IFERROR(FIND({0,1,2,3,4,5,6,7,8,9},N12),LEN(N12)+1)),LEN(N12))</f>
        <v>0.0</v>
      </c>
      <c r="P12" s="28" t="n">
        <f>L12&amp;" "&amp;O12</f>
        <v>0.0</v>
      </c>
      <c r="Q12" s="27" t="inlineStr">
        <is>
          <t>227-0054</t>
        </is>
      </c>
      <c r="R12" s="30" t="inlineStr">
        <is>
          <t>080-4313-6793</t>
        </is>
      </c>
      <c r="S12" s="31" t="inlineStr">
        <is>
          <t xml:space="preserve">HUI ZHOU JING SHAN GONG MAO YOU XIAN GONG SI </t>
        </is>
      </c>
      <c r="T12" s="31" t="inlineStr">
        <is>
          <t>GUANG DONG SHENG HUI ZHOU SHI HUI CHENG QU QIAO DONG JIE DAO HUI ZHOU SHI HUI ZHOU DA DAO 108 HAO</t>
        </is>
      </c>
      <c r="U12" s="32" t="inlineStr">
        <is>
          <t>C&amp;F</t>
        </is>
      </c>
      <c r="V12" s="32" t="inlineStr">
        <is>
          <t>JPY</t>
        </is>
      </c>
      <c r="W12" s="33"/>
      <c r="X12" s="34" t="n">
        <f>INT(AZ12)</f>
        <v>0.0</v>
      </c>
      <c r="Y12" s="32" t="inlineStr">
        <is>
          <t>A</t>
        </is>
      </c>
      <c r="Z12" s="32" t="inlineStr">
        <is>
          <t>JPY</t>
        </is>
      </c>
      <c r="AA12" s="32"/>
      <c r="AB12" s="32" t="inlineStr">
        <is>
          <t>CN</t>
        </is>
      </c>
      <c r="AD12" s="27" t="inlineStr">
        <is>
          <t>阪ノ下 芽美 [サカノシタ メイミ]</t>
        </is>
      </c>
      <c r="AE12" s="7" t="n">
        <f>AU12&amp;AV12&amp;AW12&amp;BD12</f>
        <v>0.0</v>
      </c>
      <c r="AF12" s="7" t="inlineStr">
        <is>
          <t>080-4313-6793</t>
        </is>
      </c>
      <c r="AG12" s="7" t="inlineStr">
        <is>
          <t>227-0054</t>
        </is>
      </c>
      <c r="AH12" s="7" t="inlineStr">
        <is>
          <t>楽天-ヤナストア</t>
        </is>
      </c>
      <c r="AI12" s="7" t="n">
        <f>BB12&amp;BC12&amp;BA12</f>
        <v>0.0</v>
      </c>
      <c r="AJ12" s="7" t="inlineStr">
        <is>
          <t xml:space="preserve"> 0671670298</t>
        </is>
      </c>
      <c r="AK12" s="39" t="inlineStr">
        <is>
          <t>C</t>
        </is>
      </c>
      <c r="AL12" s="39" t="n">
        <v>1.0</v>
      </c>
      <c r="AM12" s="27" t="n">
        <f>IF(OR(ISNUMBER(SEARCH("amazon",AH12)),ISNUMBER(SEARCH("亚马逊",AH12))),"PUS001",IF(OR(ISNUMBER(SEARCH("rakuten",AH12)),ISNUMBER(SEARCH("楽天",AH12)),ISNUMBER(SEARCH("乐天",AH12))),"PJP001",IF(ISNUMBER(SEARCH("tik tok shop",AH12)),"PSG003",IF(ISNUMBER(SEARCH("temu",AH12)),"PSG001",IF(ISNUMBER(SEARCH("shein",AH12)),"JSG001",IF(OR(ISNUMBER(SEARCH("yahoo",AH12)),ISNUMBER(SEARCH("雅虎",AH12)),ISNUMBER(SEARCH("雅",AH12)),LEFT(UPPER(AH12),1)="Y"),"PJP005",IF(ISNUMBER(SEARCH("DDA JAPAN",AH12)),CHOOSE(RANDBETWEEN(1,3),"temu","PSG003","PSG001"),"JCNZZZ")))))))</f>
        <v>0.0</v>
      </c>
      <c r="AN12" s="7" t="n">
        <f>IF(ISNUMBER(SEARCH("JCNZZZ",AM12)),CHOOSE(RANDBETWEEN(1,4),"TAOBAO0","JinDdong","PingDduoDduo","ALIBABA"),"")</f>
        <v>0.0</v>
      </c>
      <c r="AU12" s="7" t="inlineStr">
        <is>
          <t>神奈川県</t>
        </is>
      </c>
      <c r="AV12" s="7" t="inlineStr">
        <is>
          <t>横浜市青葉区しらとり台</t>
        </is>
      </c>
      <c r="AW12" s="7" t="inlineStr">
        <is>
          <t>62-1 Novem しらとり台 9</t>
        </is>
      </c>
      <c r="AX12" s="7" t="inlineStr">
        <is>
          <t>lamp</t>
        </is>
      </c>
      <c r="AY12" s="7" t="inlineStr">
        <is>
          <t>plastic</t>
        </is>
      </c>
      <c r="AZ12" s="7" t="n">
        <v>8.0</v>
      </c>
      <c r="BA12" s="7" t="inlineStr">
        <is>
          <t xml:space="preserve"> 上野芝町2－5－1－５０７</t>
        </is>
      </c>
      <c r="BB12" s="7"/>
      <c r="BC12" s="7"/>
      <c r="BD12" s="7"/>
    </row>
    <row r="13" customHeight="true" ht="33.0">
      <c r="A13" s="13" t="inlineStr">
        <is>
          <t>DIDA</t>
        </is>
      </c>
      <c r="B13" s="14"/>
      <c r="C13" s="15" t="inlineStr">
        <is>
          <t>365027493213</t>
        </is>
      </c>
      <c r="D13" s="15" t="inlineStr">
        <is>
          <t>365027493213</t>
        </is>
      </c>
      <c r="E13" s="7" t="n">
        <v>1.0</v>
      </c>
      <c r="F13" s="11" t="n">
        <v>0.84</v>
      </c>
      <c r="G13" s="7" t="inlineStr">
        <is>
          <t>KGM</t>
        </is>
      </c>
      <c r="H13" s="16" t="n">
        <f>UPPER(AX13)</f>
        <v>0.0</v>
      </c>
      <c r="I13" s="16" t="n">
        <f>UPPER(AY13)</f>
        <v>0.0</v>
      </c>
      <c r="J13" s="16" t="inlineStr">
        <is>
          <t>株式会社 カラオケエンタテイメント [カブシキガイシャ カラオケエンタテイメント]</t>
        </is>
      </c>
      <c r="K13" s="25" t="n">
        <f>UPPER(J13)</f>
        <v>0.0</v>
      </c>
      <c r="L13" s="25"/>
      <c r="M13" s="26" t="n">
        <f>AU13&amp;AV13&amp;AW13&amp;BD13</f>
        <v>0.0</v>
      </c>
      <c r="N13" s="27" t="n">
        <f>UPPER(M13)</f>
        <v>0.0</v>
      </c>
      <c r="O13" s="28" t="n">
        <f>MID(N13,MIN(IFERROR(FIND({0,1,2,3,4,5,6,7,8,9},N13),LEN(N13)+1)),LEN(N13))</f>
        <v>0.0</v>
      </c>
      <c r="P13" s="28" t="n">
        <f>L13&amp;" "&amp;O13</f>
        <v>0.0</v>
      </c>
      <c r="Q13" s="27" t="inlineStr">
        <is>
          <t>101-0051</t>
        </is>
      </c>
      <c r="R13" s="30" t="inlineStr">
        <is>
          <t>03-3291-1295</t>
        </is>
      </c>
      <c r="S13" s="31" t="inlineStr">
        <is>
          <t xml:space="preserve">HUI ZHOU JING SHAN GONG MAO YOU XIAN GONG SI </t>
        </is>
      </c>
      <c r="T13" s="31" t="inlineStr">
        <is>
          <t>GUANG DONG SHENG HUI ZHOU SHI HUI CHENG QU QIAO DONG JIE DAO HUI ZHOU SHI HUI ZHOU DA DAO 108 HAO</t>
        </is>
      </c>
      <c r="U13" s="32" t="inlineStr">
        <is>
          <t>C&amp;F</t>
        </is>
      </c>
      <c r="V13" s="32" t="inlineStr">
        <is>
          <t>JPY</t>
        </is>
      </c>
      <c r="W13" s="33"/>
      <c r="X13" s="34" t="n">
        <f>INT(AZ13)</f>
        <v>0.0</v>
      </c>
      <c r="Y13" s="32" t="inlineStr">
        <is>
          <t>A</t>
        </is>
      </c>
      <c r="Z13" s="32" t="inlineStr">
        <is>
          <t>JPY</t>
        </is>
      </c>
      <c r="AA13" s="32"/>
      <c r="AB13" s="32" t="inlineStr">
        <is>
          <t>CN</t>
        </is>
      </c>
      <c r="AD13" s="27" t="inlineStr">
        <is>
          <t>株式会社 カラオケエンタテイメント [カブシキガイシャ カラオケエンタテイメント]</t>
        </is>
      </c>
      <c r="AE13" s="7" t="n">
        <f>AU13&amp;AV13&amp;AW13&amp;BD13</f>
        <v>0.0</v>
      </c>
      <c r="AF13" s="7" t="inlineStr">
        <is>
          <t>03-3291-1295</t>
        </is>
      </c>
      <c r="AG13" s="7" t="inlineStr">
        <is>
          <t>101-0051</t>
        </is>
      </c>
      <c r="AH13" s="7" t="inlineStr">
        <is>
          <t>楽天-eightyone-H</t>
        </is>
      </c>
      <c r="AI13" s="7" t="n">
        <f>BB13&amp;BC13&amp;BA13</f>
        <v>0.0</v>
      </c>
      <c r="AJ13" s="7" t="inlineStr">
        <is>
          <t xml:space="preserve"> 036-161-6083</t>
        </is>
      </c>
      <c r="AK13" s="39" t="inlineStr">
        <is>
          <t>C</t>
        </is>
      </c>
      <c r="AL13" s="39" t="n">
        <v>1.0</v>
      </c>
      <c r="AM13" s="27" t="n">
        <f>IF(OR(ISNUMBER(SEARCH("amazon",AH13)),ISNUMBER(SEARCH("亚马逊",AH13))),"PUS001",IF(OR(ISNUMBER(SEARCH("rakuten",AH13)),ISNUMBER(SEARCH("楽天",AH13)),ISNUMBER(SEARCH("乐天",AH13))),"PJP001",IF(ISNUMBER(SEARCH("tik tok shop",AH13)),"PSG003",IF(ISNUMBER(SEARCH("temu",AH13)),"PSG001",IF(ISNUMBER(SEARCH("shein",AH13)),"JSG001",IF(OR(ISNUMBER(SEARCH("yahoo",AH13)),ISNUMBER(SEARCH("雅虎",AH13)),ISNUMBER(SEARCH("雅",AH13)),LEFT(UPPER(AH13),1)="Y"),"PJP005",IF(ISNUMBER(SEARCH("DDA JAPAN",AH13)),CHOOSE(RANDBETWEEN(1,3),"temu","PSG003","PSG001"),"JCNZZZ")))))))</f>
        <v>0.0</v>
      </c>
      <c r="AN13" s="7" t="n">
        <f>IF(ISNUMBER(SEARCH("JCNZZZ",AM13)),CHOOSE(RANDBETWEEN(1,4),"TAOBAO0","JinDdong","PingDduoDduo","ALIBABA"),"")</f>
        <v>0.0</v>
      </c>
      <c r="AU13" s="7" t="inlineStr">
        <is>
          <t>東京都</t>
        </is>
      </c>
      <c r="AV13" s="7" t="inlineStr">
        <is>
          <t>千代田区</t>
        </is>
      </c>
      <c r="AW13" s="7" t="inlineStr">
        <is>
          <t>神田神保町1-2</t>
        </is>
      </c>
      <c r="AX13" s="7" t="inlineStr">
        <is>
          <t>Plastic toys</t>
        </is>
      </c>
      <c r="AY13" s="7" t="inlineStr">
        <is>
          <t>ABS</t>
        </is>
      </c>
      <c r="AZ13" s="7" t="n">
        <v>16.8</v>
      </c>
      <c r="BA13" s="7" t="inlineStr">
        <is>
          <t xml:space="preserve"> 東京都品川区平塚1-13-1</t>
        </is>
      </c>
      <c r="BB13" s="7"/>
      <c r="BC13" s="7"/>
      <c r="BD13" s="7"/>
    </row>
    <row r="14" customHeight="true" ht="33.0">
      <c r="A14" s="13" t="inlineStr">
        <is>
          <t>DIDA</t>
        </is>
      </c>
      <c r="B14" s="14"/>
      <c r="C14" s="15" t="inlineStr">
        <is>
          <t>365027493773</t>
        </is>
      </c>
      <c r="D14" s="15" t="inlineStr">
        <is>
          <t>365027493773</t>
        </is>
      </c>
      <c r="E14" s="7" t="n">
        <v>1.0</v>
      </c>
      <c r="F14" s="11" t="n">
        <v>10.36</v>
      </c>
      <c r="G14" s="7" t="inlineStr">
        <is>
          <t>KGM</t>
        </is>
      </c>
      <c r="H14" s="16" t="n">
        <f>UPPER(AX14)</f>
        <v>0.0</v>
      </c>
      <c r="I14" s="16" t="n">
        <f>UPPER(AY14)</f>
        <v>0.0</v>
      </c>
      <c r="J14" s="16" t="inlineStr">
        <is>
          <t>野村 京</t>
        </is>
      </c>
      <c r="K14" s="25" t="n">
        <f>UPPER(J14)</f>
        <v>0.0</v>
      </c>
      <c r="L14" s="25"/>
      <c r="M14" s="26" t="n">
        <f>AU14&amp;AV14&amp;AW14&amp;BD14</f>
        <v>0.0</v>
      </c>
      <c r="N14" s="27" t="n">
        <f>UPPER(M14)</f>
        <v>0.0</v>
      </c>
      <c r="O14" s="28" t="n">
        <f>MID(N14,MIN(IFERROR(FIND({0,1,2,3,4,5,6,7,8,9},N14),LEN(N14)+1)),LEN(N14))</f>
        <v>0.0</v>
      </c>
      <c r="P14" s="28" t="n">
        <f>L14&amp;" "&amp;O14</f>
        <v>0.0</v>
      </c>
      <c r="Q14" s="27" t="inlineStr">
        <is>
          <t>160-0023</t>
        </is>
      </c>
      <c r="R14" s="30" t="inlineStr">
        <is>
          <t>03-5937-0883</t>
        </is>
      </c>
      <c r="S14" s="31" t="inlineStr">
        <is>
          <t xml:space="preserve">HUI ZHOU JING SHAN GONG MAO YOU XIAN GONG SI </t>
        </is>
      </c>
      <c r="T14" s="31" t="inlineStr">
        <is>
          <t>GUANG DONG SHENG HUI ZHOU SHI HUI CHENG QU QIAO DONG JIE DAO HUI ZHOU SHI HUI ZHOU DA DAO 108 HAO</t>
        </is>
      </c>
      <c r="U14" s="32" t="inlineStr">
        <is>
          <t>C&amp;F</t>
        </is>
      </c>
      <c r="V14" s="32" t="inlineStr">
        <is>
          <t>JPY</t>
        </is>
      </c>
      <c r="W14" s="33"/>
      <c r="X14" s="34" t="n">
        <f>INT(AZ14)</f>
        <v>0.0</v>
      </c>
      <c r="Y14" s="32" t="inlineStr">
        <is>
          <t>A</t>
        </is>
      </c>
      <c r="Z14" s="32" t="inlineStr">
        <is>
          <t>JPY</t>
        </is>
      </c>
      <c r="AA14" s="32"/>
      <c r="AB14" s="32" t="inlineStr">
        <is>
          <t>CN</t>
        </is>
      </c>
      <c r="AD14" s="27" t="inlineStr">
        <is>
          <t>野村 京</t>
        </is>
      </c>
      <c r="AE14" s="7" t="n">
        <f>AU14&amp;AV14&amp;AW14&amp;BD14</f>
        <v>0.0</v>
      </c>
      <c r="AF14" s="7" t="inlineStr">
        <is>
          <t>03-5937-0883</t>
        </is>
      </c>
      <c r="AG14" s="7" t="inlineStr">
        <is>
          <t>160-0023</t>
        </is>
      </c>
      <c r="AH14" s="7"/>
      <c r="AI14" s="7" t="n">
        <f>BB14&amp;BC14&amp;BA14</f>
        <v>0.0</v>
      </c>
      <c r="AJ14" s="7" t="inlineStr">
        <is>
          <t xml:space="preserve"> </t>
        </is>
      </c>
      <c r="AK14" s="39" t="inlineStr">
        <is>
          <t>C</t>
        </is>
      </c>
      <c r="AL14" s="39" t="n">
        <v>1.0</v>
      </c>
      <c r="AM14" s="27" t="n">
        <f>IF(OR(ISNUMBER(SEARCH("amazon",AH14)),ISNUMBER(SEARCH("亚马逊",AH14))),"PUS001",IF(OR(ISNUMBER(SEARCH("rakuten",AH14)),ISNUMBER(SEARCH("楽天",AH14)),ISNUMBER(SEARCH("乐天",AH14))),"PJP001",IF(ISNUMBER(SEARCH("tik tok shop",AH14)),"PSG003",IF(ISNUMBER(SEARCH("temu",AH14)),"PSG001",IF(ISNUMBER(SEARCH("shein",AH14)),"JSG001",IF(OR(ISNUMBER(SEARCH("yahoo",AH14)),ISNUMBER(SEARCH("雅虎",AH14)),ISNUMBER(SEARCH("雅",AH14)),LEFT(UPPER(AH14),1)="Y"),"PJP005",IF(ISNUMBER(SEARCH("DDA JAPAN",AH14)),CHOOSE(RANDBETWEEN(1,3),"temu","PSG003","PSG001"),"JCNZZZ")))))))</f>
        <v>0.0</v>
      </c>
      <c r="AN14" s="7" t="n">
        <f>IF(ISNUMBER(SEARCH("JCNZZZ",AM14)),CHOOSE(RANDBETWEEN(1,4),"TAOBAO0","JinDdong","PingDduoDduo","ALIBABA"),"")</f>
        <v>0.0</v>
      </c>
      <c r="AU14" s="7"/>
      <c r="AV14" s="7"/>
      <c r="AW14" s="7" t="inlineStr">
        <is>
          <t>東京都新宿区西新宿7丁目1-12　 Crossoffice新宿705</t>
        </is>
      </c>
      <c r="AX14" s="7" t="inlineStr">
        <is>
          <t>Storage Box</t>
        </is>
      </c>
      <c r="AY14" s="7" t="inlineStr">
        <is>
          <t>ABS</t>
        </is>
      </c>
      <c r="AZ14" s="7" t="n">
        <v>32.2</v>
      </c>
      <c r="BA14" s="7" t="inlineStr">
        <is>
          <t xml:space="preserve"> </t>
        </is>
      </c>
      <c r="BB14" s="7"/>
      <c r="BC14" s="7"/>
      <c r="BD14" s="7"/>
    </row>
    <row r="15" customHeight="true" ht="33.0">
      <c r="A15" s="13" t="inlineStr">
        <is>
          <t>DIDA</t>
        </is>
      </c>
      <c r="B15" s="14"/>
      <c r="C15" s="15" t="inlineStr">
        <is>
          <t>365027493261</t>
        </is>
      </c>
      <c r="D15" s="15" t="inlineStr">
        <is>
          <t>365027493261</t>
        </is>
      </c>
      <c r="E15" s="7" t="n">
        <v>1.0</v>
      </c>
      <c r="F15" s="11" t="n">
        <v>0.55</v>
      </c>
      <c r="G15" s="7" t="inlineStr">
        <is>
          <t>KGM</t>
        </is>
      </c>
      <c r="H15" s="16" t="n">
        <f>UPPER(AX15)</f>
        <v>0.0</v>
      </c>
      <c r="I15" s="16" t="n">
        <f>UPPER(AY15)</f>
        <v>0.0</v>
      </c>
      <c r="J15" s="16" t="inlineStr">
        <is>
          <t>生頼 悦子</t>
        </is>
      </c>
      <c r="K15" s="25" t="n">
        <f>UPPER(J15)</f>
        <v>0.0</v>
      </c>
      <c r="L15" s="25"/>
      <c r="M15" s="26" t="n">
        <f>AU15&amp;AV15&amp;AW15&amp;BD15</f>
        <v>0.0</v>
      </c>
      <c r="N15" s="27" t="n">
        <f>UPPER(M15)</f>
        <v>0.0</v>
      </c>
      <c r="O15" s="28" t="n">
        <f>MID(N15,MIN(IFERROR(FIND({0,1,2,3,4,5,6,7,8,9},N15),LEN(N15)+1)),LEN(N15))</f>
        <v>0.0</v>
      </c>
      <c r="P15" s="28" t="n">
        <f>L15&amp;" "&amp;O15</f>
        <v>0.0</v>
      </c>
      <c r="Q15" s="27" t="inlineStr">
        <is>
          <t>225-0022</t>
        </is>
      </c>
      <c r="R15" s="30" t="inlineStr">
        <is>
          <t>08010978274</t>
        </is>
      </c>
      <c r="S15" s="31" t="inlineStr">
        <is>
          <t xml:space="preserve">HUI ZHOU JING SHAN GONG MAO YOU XIAN GONG SI </t>
        </is>
      </c>
      <c r="T15" s="31" t="inlineStr">
        <is>
          <t>GUANG DONG SHENG HUI ZHOU SHI HUI CHENG QU QIAO DONG JIE DAO HUI ZHOU SHI HUI ZHOU DA DAO 108 HAO</t>
        </is>
      </c>
      <c r="U15" s="32" t="inlineStr">
        <is>
          <t>C&amp;F</t>
        </is>
      </c>
      <c r="V15" s="32" t="inlineStr">
        <is>
          <t>JPY</t>
        </is>
      </c>
      <c r="W15" s="33"/>
      <c r="X15" s="34" t="n">
        <f>INT(AZ15)</f>
        <v>0.0</v>
      </c>
      <c r="Y15" s="32" t="inlineStr">
        <is>
          <t>A</t>
        </is>
      </c>
      <c r="Z15" s="32" t="inlineStr">
        <is>
          <t>JPY</t>
        </is>
      </c>
      <c r="AA15" s="32"/>
      <c r="AB15" s="32" t="inlineStr">
        <is>
          <t>CN</t>
        </is>
      </c>
      <c r="AD15" s="27" t="inlineStr">
        <is>
          <t>生頼 悦子</t>
        </is>
      </c>
      <c r="AE15" s="7" t="n">
        <f>AU15&amp;AV15&amp;AW15&amp;BD15</f>
        <v>0.0</v>
      </c>
      <c r="AF15" s="7" t="inlineStr">
        <is>
          <t>08010978274</t>
        </is>
      </c>
      <c r="AG15" s="7" t="inlineStr">
        <is>
          <t>225-0022</t>
        </is>
      </c>
      <c r="AH15" s="7" t="inlineStr">
        <is>
          <t>鯨山-kingyama</t>
        </is>
      </c>
      <c r="AI15" s="7" t="n">
        <f>BB15&amp;BC15&amp;BA15</f>
        <v>0.0</v>
      </c>
      <c r="AJ15" s="7" t="inlineStr">
        <is>
          <t xml:space="preserve"> 050-5856-0970</t>
        </is>
      </c>
      <c r="AK15" s="39" t="inlineStr">
        <is>
          <t>C</t>
        </is>
      </c>
      <c r="AL15" s="39" t="n">
        <v>1.0</v>
      </c>
      <c r="AM15" s="27" t="n">
        <f>IF(OR(ISNUMBER(SEARCH("amazon",AH15)),ISNUMBER(SEARCH("亚马逊",AH15))),"PUS001",IF(OR(ISNUMBER(SEARCH("rakuten",AH15)),ISNUMBER(SEARCH("楽天",AH15)),ISNUMBER(SEARCH("乐天",AH15))),"PJP001",IF(ISNUMBER(SEARCH("tik tok shop",AH15)),"PSG003",IF(ISNUMBER(SEARCH("temu",AH15)),"PSG001",IF(ISNUMBER(SEARCH("shein",AH15)),"JSG001",IF(OR(ISNUMBER(SEARCH("yahoo",AH15)),ISNUMBER(SEARCH("雅虎",AH15)),ISNUMBER(SEARCH("雅",AH15)),LEFT(UPPER(AH15),1)="Y"),"PJP005",IF(ISNUMBER(SEARCH("DDA JAPAN",AH15)),CHOOSE(RANDBETWEEN(1,3),"temu","PSG003","PSG001"),"JCNZZZ")))))))</f>
        <v>0.0</v>
      </c>
      <c r="AN15" s="7" t="n">
        <f>IF(ISNUMBER(SEARCH("JCNZZZ",AM15)),CHOOSE(RANDBETWEEN(1,4),"TAOBAO0","JinDdong","PingDduoDduo","ALIBABA"),"")</f>
        <v>0.0</v>
      </c>
      <c r="AU15" s="7" t="inlineStr">
        <is>
          <t>神奈川県</t>
        </is>
      </c>
      <c r="AV15" s="7" t="inlineStr">
        <is>
          <t>横浜市青葉区</t>
        </is>
      </c>
      <c r="AW15" s="7" t="inlineStr">
        <is>
          <t>黒須田31-52</t>
        </is>
      </c>
      <c r="AX15" s="7" t="inlineStr">
        <is>
          <t>Solar outdoor lamp</t>
        </is>
      </c>
      <c r="AY15" s="7" t="inlineStr">
        <is>
          <t>ABS</t>
        </is>
      </c>
      <c r="AZ15" s="7" t="n">
        <v>8.0</v>
      </c>
      <c r="BA15" s="7" t="inlineStr">
        <is>
          <t xml:space="preserve"> 大阪市西成区3丁目5番14号FDS ENISHI303</t>
        </is>
      </c>
      <c r="BB15" s="7"/>
      <c r="BC15" s="7"/>
      <c r="BD15" s="7"/>
    </row>
    <row r="16" customHeight="true" ht="33.0">
      <c r="A16" s="13" t="inlineStr">
        <is>
          <t>DIDA</t>
        </is>
      </c>
      <c r="B16" s="14"/>
      <c r="C16" s="15" t="inlineStr">
        <is>
          <t>365027493563</t>
        </is>
      </c>
      <c r="D16" s="15" t="inlineStr">
        <is>
          <t>365027493563</t>
        </is>
      </c>
      <c r="E16" s="7" t="n">
        <v>1.0</v>
      </c>
      <c r="F16" s="11" t="n">
        <v>3.75</v>
      </c>
      <c r="G16" s="7" t="inlineStr">
        <is>
          <t>KGM</t>
        </is>
      </c>
      <c r="H16" s="16" t="n">
        <f>UPPER(AX16)</f>
        <v>0.0</v>
      </c>
      <c r="I16" s="16" t="n">
        <f>UPPER(AY16)</f>
        <v>0.0</v>
      </c>
      <c r="J16" s="16" t="inlineStr">
        <is>
          <t>片岡 優介</t>
        </is>
      </c>
      <c r="K16" s="25" t="n">
        <f>UPPER(J16)</f>
        <v>0.0</v>
      </c>
      <c r="L16" s="25"/>
      <c r="M16" s="26" t="n">
        <f>AU16&amp;AV16&amp;AW16&amp;BD16</f>
        <v>0.0</v>
      </c>
      <c r="N16" s="27" t="n">
        <f>UPPER(M16)</f>
        <v>0.0</v>
      </c>
      <c r="O16" s="28" t="n">
        <f>MID(N16,MIN(IFERROR(FIND({0,1,2,3,4,5,6,7,8,9},N16),LEN(N16)+1)),LEN(N16))</f>
        <v>0.0</v>
      </c>
      <c r="P16" s="28" t="n">
        <f>L16&amp;" "&amp;O16</f>
        <v>0.0</v>
      </c>
      <c r="Q16" s="27" t="inlineStr">
        <is>
          <t>428-0009</t>
        </is>
      </c>
      <c r="R16" s="30" t="inlineStr">
        <is>
          <t>090-1984-6867</t>
        </is>
      </c>
      <c r="S16" s="31" t="inlineStr">
        <is>
          <t xml:space="preserve">HUI ZHOU JING SHAN GONG MAO YOU XIAN GONG SI </t>
        </is>
      </c>
      <c r="T16" s="31" t="inlineStr">
        <is>
          <t>GUANG DONG SHENG HUI ZHOU SHI HUI CHENG QU QIAO DONG JIE DAO HUI ZHOU SHI HUI ZHOU DA DAO 108 HAO</t>
        </is>
      </c>
      <c r="U16" s="32" t="inlineStr">
        <is>
          <t>C&amp;F</t>
        </is>
      </c>
      <c r="V16" s="32" t="inlineStr">
        <is>
          <t>JPY</t>
        </is>
      </c>
      <c r="W16" s="33"/>
      <c r="X16" s="34" t="n">
        <f>INT(AZ16)</f>
        <v>0.0</v>
      </c>
      <c r="Y16" s="32" t="inlineStr">
        <is>
          <t>A</t>
        </is>
      </c>
      <c r="Z16" s="32" t="inlineStr">
        <is>
          <t>JPY</t>
        </is>
      </c>
      <c r="AA16" s="32"/>
      <c r="AB16" s="32" t="inlineStr">
        <is>
          <t>CN</t>
        </is>
      </c>
      <c r="AD16" s="27" t="inlineStr">
        <is>
          <t>片岡 優介</t>
        </is>
      </c>
      <c r="AE16" s="7" t="n">
        <f>AU16&amp;AV16&amp;AW16&amp;BD16</f>
        <v>0.0</v>
      </c>
      <c r="AF16" s="7" t="inlineStr">
        <is>
          <t>090-1984-6867</t>
        </is>
      </c>
      <c r="AG16" s="7" t="inlineStr">
        <is>
          <t>428-0009</t>
        </is>
      </c>
      <c r="AH16" s="7" t="inlineStr">
        <is>
          <t/>
        </is>
      </c>
      <c r="AI16" s="7" t="n">
        <f>BB16&amp;BC16&amp;BA16</f>
        <v>0.0</v>
      </c>
      <c r="AJ16" s="7" t="inlineStr">
        <is>
          <t xml:space="preserve"> 08085450013</t>
        </is>
      </c>
      <c r="AK16" s="39" t="inlineStr">
        <is>
          <t>C</t>
        </is>
      </c>
      <c r="AL16" s="39" t="n">
        <v>1.0</v>
      </c>
      <c r="AM16" s="27" t="n">
        <f>IF(OR(ISNUMBER(SEARCH("amazon",AH16)),ISNUMBER(SEARCH("亚马逊",AH16))),"PUS001",IF(OR(ISNUMBER(SEARCH("rakuten",AH16)),ISNUMBER(SEARCH("楽天",AH16)),ISNUMBER(SEARCH("乐天",AH16))),"PJP001",IF(ISNUMBER(SEARCH("tik tok shop",AH16)),"PSG003",IF(ISNUMBER(SEARCH("temu",AH16)),"PSG001",IF(ISNUMBER(SEARCH("shein",AH16)),"JSG001",IF(OR(ISNUMBER(SEARCH("yahoo",AH16)),ISNUMBER(SEARCH("雅虎",AH16)),ISNUMBER(SEARCH("雅",AH16)),LEFT(UPPER(AH16),1)="Y"),"PJP005",IF(ISNUMBER(SEARCH("DDA JAPAN",AH16)),CHOOSE(RANDBETWEEN(1,3),"temu","PSG003","PSG001"),"JCNZZZ")))))))</f>
        <v>0.0</v>
      </c>
      <c r="AN16" s="7" t="n">
        <f>IF(ISNUMBER(SEARCH("JCNZZZ",AM16)),CHOOSE(RANDBETWEEN(1,4),"TAOBAO0","JinDdong","PingDduoDduo","ALIBABA"),"")</f>
        <v>0.0</v>
      </c>
      <c r="AU16" s="7" t="inlineStr">
        <is>
          <t>静岡県</t>
        </is>
      </c>
      <c r="AV16" s="7" t="inlineStr">
        <is>
          <t>島田市</t>
        </is>
      </c>
      <c r="AW16" s="7" t="inlineStr">
        <is>
          <t>大代1649番地の1</t>
        </is>
      </c>
      <c r="AX16" s="7" t="inlineStr">
        <is>
          <t>armrest box</t>
        </is>
      </c>
      <c r="AY16" s="7" t="inlineStr">
        <is>
          <t>plastic</t>
        </is>
      </c>
      <c r="AZ16" s="7" t="n">
        <v>40.0</v>
      </c>
      <c r="BA16" s="7" t="inlineStr">
        <is>
          <t xml:space="preserve"> 中百舌鳥町6丁目１００１-5盲亀浮木の店</t>
        </is>
      </c>
      <c r="BB16" s="7" t="inlineStr">
        <is>
          <t>大阪府</t>
        </is>
      </c>
      <c r="BC16" s="7" t="inlineStr">
        <is>
          <t>堺市</t>
        </is>
      </c>
      <c r="BD16" s="7" t="inlineStr">
        <is>
          <t/>
        </is>
      </c>
    </row>
    <row r="17" customHeight="true" ht="33.0">
      <c r="A17" s="13" t="inlineStr">
        <is>
          <t>DIDA</t>
        </is>
      </c>
      <c r="B17" s="14"/>
      <c r="C17" s="15" t="inlineStr">
        <is>
          <t>365027492830</t>
        </is>
      </c>
      <c r="D17" s="15" t="inlineStr">
        <is>
          <t>365027492830</t>
        </is>
      </c>
      <c r="E17" s="7" t="n">
        <v>1.0</v>
      </c>
      <c r="F17" s="11" t="n">
        <v>0.45</v>
      </c>
      <c r="G17" s="7" t="inlineStr">
        <is>
          <t>KGM</t>
        </is>
      </c>
      <c r="H17" s="16" t="n">
        <f>UPPER(AX17)</f>
        <v>0.0</v>
      </c>
      <c r="I17" s="16" t="n">
        <f>UPPER(AY17)</f>
        <v>0.0</v>
      </c>
      <c r="J17" s="16" t="inlineStr">
        <is>
          <t>八木 和佳</t>
        </is>
      </c>
      <c r="K17" s="25" t="n">
        <f>UPPER(J17)</f>
        <v>0.0</v>
      </c>
      <c r="L17" s="25"/>
      <c r="M17" s="26" t="n">
        <f>AU17&amp;AV17&amp;AW17&amp;BD17</f>
        <v>0.0</v>
      </c>
      <c r="N17" s="27" t="n">
        <f>UPPER(M17)</f>
        <v>0.0</v>
      </c>
      <c r="O17" s="28" t="n">
        <f>MID(N17,MIN(IFERROR(FIND({0,1,2,3,4,5,6,7,8,9},N17),LEN(N17)+1)),LEN(N17))</f>
        <v>0.0</v>
      </c>
      <c r="P17" s="28" t="n">
        <f>L17&amp;" "&amp;O17</f>
        <v>0.0</v>
      </c>
      <c r="Q17" s="27" t="inlineStr">
        <is>
          <t>370-0343</t>
        </is>
      </c>
      <c r="R17" s="30" t="inlineStr">
        <is>
          <t>090-8111-6263</t>
        </is>
      </c>
      <c r="S17" s="31" t="inlineStr">
        <is>
          <t xml:space="preserve">HUI ZHOU JING SHAN GONG MAO YOU XIAN GONG SI </t>
        </is>
      </c>
      <c r="T17" s="31" t="inlineStr">
        <is>
          <t>GUANG DONG SHENG HUI ZHOU SHI HUI CHENG QU QIAO DONG JIE DAO HUI ZHOU SHI HUI ZHOU DA DAO 108 HAO</t>
        </is>
      </c>
      <c r="U17" s="32" t="inlineStr">
        <is>
          <t>C&amp;F</t>
        </is>
      </c>
      <c r="V17" s="32" t="inlineStr">
        <is>
          <t>JPY</t>
        </is>
      </c>
      <c r="W17" s="33"/>
      <c r="X17" s="34" t="n">
        <f>INT(AZ17)</f>
        <v>0.0</v>
      </c>
      <c r="Y17" s="32" t="inlineStr">
        <is>
          <t>A</t>
        </is>
      </c>
      <c r="Z17" s="32" t="inlineStr">
        <is>
          <t>JPY</t>
        </is>
      </c>
      <c r="AA17" s="32"/>
      <c r="AB17" s="32" t="inlineStr">
        <is>
          <t>CN</t>
        </is>
      </c>
      <c r="AD17" s="27" t="inlineStr">
        <is>
          <t>八木 和佳</t>
        </is>
      </c>
      <c r="AE17" s="7" t="n">
        <f>AU17&amp;AV17&amp;AW17&amp;BD17</f>
        <v>0.0</v>
      </c>
      <c r="AF17" s="7" t="inlineStr">
        <is>
          <t>090-8111-6263</t>
        </is>
      </c>
      <c r="AG17" s="7" t="inlineStr">
        <is>
          <t>370-0343</t>
        </is>
      </c>
      <c r="AH17" s="7" t="inlineStr">
        <is>
          <t>JETMILLIO楽天市場店</t>
        </is>
      </c>
      <c r="AI17" s="7" t="n">
        <f>BB17&amp;BC17&amp;BA17</f>
        <v>0.0</v>
      </c>
      <c r="AJ17" s="7" t="inlineStr">
        <is>
          <t xml:space="preserve"> 050-3181-9787</t>
        </is>
      </c>
      <c r="AK17" s="39" t="inlineStr">
        <is>
          <t>C</t>
        </is>
      </c>
      <c r="AL17" s="39" t="n">
        <v>1.0</v>
      </c>
      <c r="AM17" s="27" t="n">
        <f>IF(OR(ISNUMBER(SEARCH("amazon",AH17)),ISNUMBER(SEARCH("亚马逊",AH17))),"PUS001",IF(OR(ISNUMBER(SEARCH("rakuten",AH17)),ISNUMBER(SEARCH("楽天",AH17)),ISNUMBER(SEARCH("乐天",AH17))),"PJP001",IF(ISNUMBER(SEARCH("tik tok shop",AH17)),"PSG003",IF(ISNUMBER(SEARCH("temu",AH17)),"PSG001",IF(ISNUMBER(SEARCH("shein",AH17)),"JSG001",IF(OR(ISNUMBER(SEARCH("yahoo",AH17)),ISNUMBER(SEARCH("雅虎",AH17)),ISNUMBER(SEARCH("雅",AH17)),LEFT(UPPER(AH17),1)="Y"),"PJP005",IF(ISNUMBER(SEARCH("DDA JAPAN",AH17)),CHOOSE(RANDBETWEEN(1,3),"temu","PSG003","PSG001"),"JCNZZZ")))))))</f>
        <v>0.0</v>
      </c>
      <c r="AN17" s="7" t="n">
        <f>IF(ISNUMBER(SEARCH("JCNZZZ",AM17)),CHOOSE(RANDBETWEEN(1,4),"TAOBAO0","JinDdong","PingDduoDduo","ALIBABA"),"")</f>
        <v>0.0</v>
      </c>
      <c r="AU17" s="7" t="inlineStr">
        <is>
          <t>群馬県</t>
        </is>
      </c>
      <c r="AV17" s="7" t="inlineStr">
        <is>
          <t>太田市09081116263</t>
        </is>
      </c>
      <c r="AW17" s="7" t="inlineStr">
        <is>
          <t>新田下田中町373-1 東亜工業株式会社 住宅事業部 業務部 業務課 八木和佳宛</t>
        </is>
      </c>
      <c r="AX17" s="7" t="inlineStr">
        <is>
          <t>Cup</t>
        </is>
      </c>
      <c r="AY17" s="7" t="inlineStr">
        <is>
          <t>glass</t>
        </is>
      </c>
      <c r="AZ17" s="7" t="n">
        <v>15.0</v>
      </c>
      <c r="BA17" s="7" t="inlineStr">
        <is>
          <t xml:space="preserve"> 東京都大田区上池台３－２４－１４スターハイツ洗足池２　２０２</t>
        </is>
      </c>
      <c r="BB17" s="7"/>
      <c r="BC17" s="7"/>
      <c r="BD17" s="7"/>
    </row>
    <row r="18" customHeight="true" ht="33.0">
      <c r="A18" s="13" t="inlineStr">
        <is>
          <t>DIDA</t>
        </is>
      </c>
      <c r="B18" s="14"/>
      <c r="C18" s="15" t="inlineStr">
        <is>
          <t>365027492900</t>
        </is>
      </c>
      <c r="D18" s="15" t="inlineStr">
        <is>
          <t>365027492900</t>
        </is>
      </c>
      <c r="E18" s="7" t="n">
        <v>1.0</v>
      </c>
      <c r="F18" s="11" t="n">
        <v>0.25</v>
      </c>
      <c r="G18" s="7" t="inlineStr">
        <is>
          <t>KGM</t>
        </is>
      </c>
      <c r="H18" s="16" t="n">
        <f>UPPER(AX18)</f>
        <v>0.0</v>
      </c>
      <c r="I18" s="16" t="n">
        <f>UPPER(AY18)</f>
        <v>0.0</v>
      </c>
      <c r="J18" s="16" t="inlineStr">
        <is>
          <t>大倉 美紅</t>
        </is>
      </c>
      <c r="K18" s="25" t="n">
        <f>UPPER(J18)</f>
        <v>0.0</v>
      </c>
      <c r="L18" s="25"/>
      <c r="M18" s="26" t="n">
        <f>AU18&amp;AV18&amp;AW18&amp;BD18</f>
        <v>0.0</v>
      </c>
      <c r="N18" s="27" t="n">
        <f>UPPER(M18)</f>
        <v>0.0</v>
      </c>
      <c r="O18" s="28" t="n">
        <f>MID(N18,MIN(IFERROR(FIND({0,1,2,3,4,5,6,7,8,9},N18),LEN(N18)+1)),LEN(N18))</f>
        <v>0.0</v>
      </c>
      <c r="P18" s="28" t="n">
        <f>L18&amp;" "&amp;O18</f>
        <v>0.0</v>
      </c>
      <c r="Q18" s="27" t="inlineStr">
        <is>
          <t>739-0024</t>
        </is>
      </c>
      <c r="R18" s="30" t="inlineStr">
        <is>
          <t>090-3877-0039</t>
        </is>
      </c>
      <c r="S18" s="31" t="inlineStr">
        <is>
          <t xml:space="preserve">HUI ZHOU JING SHAN GONG MAO YOU XIAN GONG SI </t>
        </is>
      </c>
      <c r="T18" s="31" t="inlineStr">
        <is>
          <t>GUANG DONG SHENG HUI ZHOU SHI HUI CHENG QU QIAO DONG JIE DAO HUI ZHOU SHI HUI ZHOU DA DAO 108 HAO</t>
        </is>
      </c>
      <c r="U18" s="32" t="inlineStr">
        <is>
          <t>C&amp;F</t>
        </is>
      </c>
      <c r="V18" s="32" t="inlineStr">
        <is>
          <t>JPY</t>
        </is>
      </c>
      <c r="W18" s="33"/>
      <c r="X18" s="34" t="n">
        <f>INT(AZ18)</f>
        <v>0.0</v>
      </c>
      <c r="Y18" s="32" t="inlineStr">
        <is>
          <t>A</t>
        </is>
      </c>
      <c r="Z18" s="32" t="inlineStr">
        <is>
          <t>JPY</t>
        </is>
      </c>
      <c r="AA18" s="32"/>
      <c r="AB18" s="32" t="inlineStr">
        <is>
          <t>CN</t>
        </is>
      </c>
      <c r="AD18" s="27" t="inlineStr">
        <is>
          <t>大倉 美紅</t>
        </is>
      </c>
      <c r="AE18" s="7" t="n">
        <f>AU18&amp;AV18&amp;AW18&amp;BD18</f>
        <v>0.0</v>
      </c>
      <c r="AF18" s="7" t="inlineStr">
        <is>
          <t>090-3877-0039</t>
        </is>
      </c>
      <c r="AG18" s="7" t="inlineStr">
        <is>
          <t>739-0024</t>
        </is>
      </c>
      <c r="AH18" s="7" t="inlineStr">
        <is>
          <t>I.M.P楽天市場店</t>
        </is>
      </c>
      <c r="AI18" s="7" t="n">
        <f>BB18&amp;BC18&amp;BA18</f>
        <v>0.0</v>
      </c>
      <c r="AJ18" s="7" t="inlineStr">
        <is>
          <t xml:space="preserve"> 050-3092-1704</t>
        </is>
      </c>
      <c r="AK18" s="39" t="inlineStr">
        <is>
          <t>C</t>
        </is>
      </c>
      <c r="AL18" s="39" t="n">
        <v>1.0</v>
      </c>
      <c r="AM18" s="27" t="n">
        <f>IF(OR(ISNUMBER(SEARCH("amazon",AH18)),ISNUMBER(SEARCH("亚马逊",AH18))),"PUS001",IF(OR(ISNUMBER(SEARCH("rakuten",AH18)),ISNUMBER(SEARCH("楽天",AH18)),ISNUMBER(SEARCH("乐天",AH18))),"PJP001",IF(ISNUMBER(SEARCH("tik tok shop",AH18)),"PSG003",IF(ISNUMBER(SEARCH("temu",AH18)),"PSG001",IF(ISNUMBER(SEARCH("shein",AH18)),"JSG001",IF(OR(ISNUMBER(SEARCH("yahoo",AH18)),ISNUMBER(SEARCH("雅虎",AH18)),ISNUMBER(SEARCH("雅",AH18)),LEFT(UPPER(AH18),1)="Y"),"PJP005",IF(ISNUMBER(SEARCH("DDA JAPAN",AH18)),CHOOSE(RANDBETWEEN(1,3),"temu","PSG003","PSG001"),"JCNZZZ")))))))</f>
        <v>0.0</v>
      </c>
      <c r="AN18" s="7" t="n">
        <f>IF(ISNUMBER(SEARCH("JCNZZZ",AM18)),CHOOSE(RANDBETWEEN(1,4),"TAOBAO0","JinDdong","PingDduoDduo","ALIBABA"),"")</f>
        <v>0.0</v>
      </c>
      <c r="AU18" s="7" t="inlineStr">
        <is>
          <t>広島県</t>
        </is>
      </c>
      <c r="AV18" s="7" t="inlineStr">
        <is>
          <t>東広島市</t>
        </is>
      </c>
      <c r="AW18" s="7" t="inlineStr">
        <is>
          <t>西条町御薗宇5288-1 ロンディネA204</t>
        </is>
      </c>
      <c r="AX18" s="7" t="inlineStr">
        <is>
          <t>baking mold</t>
        </is>
      </c>
      <c r="AY18" s="7" t="inlineStr">
        <is>
          <t>Stainless steel</t>
        </is>
      </c>
      <c r="AZ18" s="7" t="n">
        <v>17.0</v>
      </c>
      <c r="BA18" s="7" t="inlineStr">
        <is>
          <t xml:space="preserve"> 滋賀県甲賀市甲南町野尻558</t>
        </is>
      </c>
      <c r="BB18" s="7"/>
      <c r="BC18" s="7"/>
      <c r="BD18" s="7"/>
    </row>
    <row r="19" customHeight="true" ht="33.0">
      <c r="A19" s="13" t="inlineStr">
        <is>
          <t>DIDA</t>
        </is>
      </c>
      <c r="B19" s="14"/>
      <c r="C19" s="15" t="inlineStr">
        <is>
          <t>365027492863</t>
        </is>
      </c>
      <c r="D19" s="15" t="inlineStr">
        <is>
          <t>365027492863</t>
        </is>
      </c>
      <c r="E19" s="7" t="n">
        <v>1.0</v>
      </c>
      <c r="F19" s="11" t="n">
        <v>0.67</v>
      </c>
      <c r="G19" s="7" t="inlineStr">
        <is>
          <t>KGM</t>
        </is>
      </c>
      <c r="H19" s="16" t="n">
        <f>UPPER(AX19)</f>
        <v>0.0</v>
      </c>
      <c r="I19" s="16" t="n">
        <f>UPPER(AY19)</f>
        <v>0.0</v>
      </c>
      <c r="J19" s="16" t="inlineStr">
        <is>
          <t>松谷 史子</t>
        </is>
      </c>
      <c r="K19" s="25" t="n">
        <f>UPPER(J19)</f>
        <v>0.0</v>
      </c>
      <c r="L19" s="25"/>
      <c r="M19" s="26" t="n">
        <f>AU19&amp;AV19&amp;AW19&amp;BD19</f>
        <v>0.0</v>
      </c>
      <c r="N19" s="27" t="n">
        <f>UPPER(M19)</f>
        <v>0.0</v>
      </c>
      <c r="O19" s="28" t="n">
        <f>MID(N19,MIN(IFERROR(FIND({0,1,2,3,4,5,6,7,8,9},N19),LEN(N19)+1)),LEN(N19))</f>
        <v>0.0</v>
      </c>
      <c r="P19" s="28" t="n">
        <f>L19&amp;" "&amp;O19</f>
        <v>0.0</v>
      </c>
      <c r="Q19" s="27" t="inlineStr">
        <is>
          <t>064-0914</t>
        </is>
      </c>
      <c r="R19" s="30" t="inlineStr">
        <is>
          <t>011-531-5710</t>
        </is>
      </c>
      <c r="S19" s="31" t="inlineStr">
        <is>
          <t xml:space="preserve">HUI ZHOU JING SHAN GONG MAO YOU XIAN GONG SI </t>
        </is>
      </c>
      <c r="T19" s="31" t="inlineStr">
        <is>
          <t>GUANG DONG SHENG HUI ZHOU SHI HUI CHENG QU QIAO DONG JIE DAO HUI ZHOU SHI HUI ZHOU DA DAO 108 HAO</t>
        </is>
      </c>
      <c r="U19" s="32" t="inlineStr">
        <is>
          <t>C&amp;F</t>
        </is>
      </c>
      <c r="V19" s="32" t="inlineStr">
        <is>
          <t>JPY</t>
        </is>
      </c>
      <c r="W19" s="33"/>
      <c r="X19" s="34" t="n">
        <f>INT(AZ19)</f>
        <v>0.0</v>
      </c>
      <c r="Y19" s="32" t="inlineStr">
        <is>
          <t>A</t>
        </is>
      </c>
      <c r="Z19" s="32" t="inlineStr">
        <is>
          <t>JPY</t>
        </is>
      </c>
      <c r="AA19" s="32"/>
      <c r="AB19" s="32" t="inlineStr">
        <is>
          <t>CN</t>
        </is>
      </c>
      <c r="AD19" s="27" t="inlineStr">
        <is>
          <t>松谷 史子</t>
        </is>
      </c>
      <c r="AE19" s="7" t="n">
        <f>AU19&amp;AV19&amp;AW19&amp;BD19</f>
        <v>0.0</v>
      </c>
      <c r="AF19" s="7" t="inlineStr">
        <is>
          <t>011-531-5710</t>
        </is>
      </c>
      <c r="AG19" s="7" t="inlineStr">
        <is>
          <t>064-0914</t>
        </is>
      </c>
      <c r="AH19" s="7" t="inlineStr">
        <is>
          <t>FINTRUE</t>
        </is>
      </c>
      <c r="AI19" s="7" t="n">
        <f>BB19&amp;BC19&amp;BA19</f>
        <v>0.0</v>
      </c>
      <c r="AJ19" s="7" t="inlineStr">
        <is>
          <t xml:space="preserve"> 05058401648</t>
        </is>
      </c>
      <c r="AK19" s="39" t="inlineStr">
        <is>
          <t>C</t>
        </is>
      </c>
      <c r="AL19" s="39" t="n">
        <v>1.0</v>
      </c>
      <c r="AM19" s="27" t="n">
        <f>IF(OR(ISNUMBER(SEARCH("amazon",AH19)),ISNUMBER(SEARCH("亚马逊",AH19))),"PUS001",IF(OR(ISNUMBER(SEARCH("rakuten",AH19)),ISNUMBER(SEARCH("楽天",AH19)),ISNUMBER(SEARCH("乐天",AH19))),"PJP001",IF(ISNUMBER(SEARCH("tik tok shop",AH19)),"PSG003",IF(ISNUMBER(SEARCH("temu",AH19)),"PSG001",IF(ISNUMBER(SEARCH("shein",AH19)),"JSG001",IF(OR(ISNUMBER(SEARCH("yahoo",AH19)),ISNUMBER(SEARCH("雅虎",AH19)),ISNUMBER(SEARCH("雅",AH19)),LEFT(UPPER(AH19),1)="Y"),"PJP005",IF(ISNUMBER(SEARCH("DDA JAPAN",AH19)),CHOOSE(RANDBETWEEN(1,3),"temu","PSG003","PSG001"),"JCNZZZ")))))))</f>
        <v>0.0</v>
      </c>
      <c r="AN19" s="7" t="n">
        <f>IF(ISNUMBER(SEARCH("JCNZZZ",AM19)),CHOOSE(RANDBETWEEN(1,4),"TAOBAO0","JinDdong","PingDduoDduo","ALIBABA"),"")</f>
        <v>0.0</v>
      </c>
      <c r="AU19" s="7" t="inlineStr">
        <is>
          <t>北海道</t>
        </is>
      </c>
      <c r="AV19" s="7" t="inlineStr">
        <is>
          <t>札幌市中央区</t>
        </is>
      </c>
      <c r="AW19" s="7" t="inlineStr">
        <is>
          <t>南十四条西18丁目5-27 グランエスセーナ701</t>
        </is>
      </c>
      <c r="AX19" s="7" t="inlineStr">
        <is>
          <t>Cleaning supplies</t>
        </is>
      </c>
      <c r="AY19" s="7" t="inlineStr">
        <is>
          <t>PC</t>
        </is>
      </c>
      <c r="AZ19" s="7" t="n">
        <v>14.0</v>
      </c>
      <c r="BA19" s="7" t="inlineStr">
        <is>
          <t xml:space="preserve"> 大阪府大阪市中央区安堂寺町2-1-3-901</t>
        </is>
      </c>
      <c r="BB19" s="7"/>
      <c r="BC19" s="7"/>
      <c r="BD19" s="7"/>
    </row>
    <row r="20" customHeight="true" ht="33.0">
      <c r="A20" s="13" t="inlineStr">
        <is>
          <t>DIDA</t>
        </is>
      </c>
      <c r="B20" s="14"/>
      <c r="C20" s="15" t="inlineStr">
        <is>
          <t>365027492686</t>
        </is>
      </c>
      <c r="D20" s="15" t="inlineStr">
        <is>
          <t>365027492686</t>
        </is>
      </c>
      <c r="E20" s="7" t="n">
        <v>1.0</v>
      </c>
      <c r="F20" s="11" t="n">
        <v>0.15</v>
      </c>
      <c r="G20" s="7" t="inlineStr">
        <is>
          <t>KGM</t>
        </is>
      </c>
      <c r="H20" s="16" t="n">
        <f>UPPER(AX20)</f>
        <v>0.0</v>
      </c>
      <c r="I20" s="16" t="n">
        <f>UPPER(AY20)</f>
        <v>0.0</v>
      </c>
      <c r="J20" s="16" t="inlineStr">
        <is>
          <t>奥山 学</t>
        </is>
      </c>
      <c r="K20" s="25" t="n">
        <f>UPPER(J20)</f>
        <v>0.0</v>
      </c>
      <c r="L20" s="25"/>
      <c r="M20" s="26" t="n">
        <f>AU20&amp;AV20&amp;AW20&amp;BD20</f>
        <v>0.0</v>
      </c>
      <c r="N20" s="27" t="n">
        <f>UPPER(M20)</f>
        <v>0.0</v>
      </c>
      <c r="O20" s="28" t="n">
        <f>MID(N20,MIN(IFERROR(FIND({0,1,2,3,4,5,6,7,8,9},N20),LEN(N20)+1)),LEN(N20))</f>
        <v>0.0</v>
      </c>
      <c r="P20" s="28" t="n">
        <f>L20&amp;" "&amp;O20</f>
        <v>0.0</v>
      </c>
      <c r="Q20" s="27" t="inlineStr">
        <is>
          <t>010-0043</t>
        </is>
      </c>
      <c r="R20" s="30" t="inlineStr">
        <is>
          <t>018-807-0155</t>
        </is>
      </c>
      <c r="S20" s="31" t="inlineStr">
        <is>
          <t xml:space="preserve">HUI ZHOU JING SHAN GONG MAO YOU XIAN GONG SI </t>
        </is>
      </c>
      <c r="T20" s="31" t="inlineStr">
        <is>
          <t>GUANG DONG SHENG HUI ZHOU SHI HUI CHENG QU QIAO DONG JIE DAO HUI ZHOU SHI HUI ZHOU DA DAO 108 HAO</t>
        </is>
      </c>
      <c r="U20" s="32" t="inlineStr">
        <is>
          <t>C&amp;F</t>
        </is>
      </c>
      <c r="V20" s="32" t="inlineStr">
        <is>
          <t>JPY</t>
        </is>
      </c>
      <c r="W20" s="33"/>
      <c r="X20" s="34" t="n">
        <f>INT(AZ20)</f>
        <v>0.0</v>
      </c>
      <c r="Y20" s="32" t="inlineStr">
        <is>
          <t>A</t>
        </is>
      </c>
      <c r="Z20" s="32" t="inlineStr">
        <is>
          <t>JPY</t>
        </is>
      </c>
      <c r="AA20" s="32"/>
      <c r="AB20" s="32" t="inlineStr">
        <is>
          <t>CN</t>
        </is>
      </c>
      <c r="AD20" s="27" t="inlineStr">
        <is>
          <t>奥山 学</t>
        </is>
      </c>
      <c r="AE20" s="7" t="n">
        <f>AU20&amp;AV20&amp;AW20&amp;BD20</f>
        <v>0.0</v>
      </c>
      <c r="AF20" s="7" t="inlineStr">
        <is>
          <t>018-807-0155</t>
        </is>
      </c>
      <c r="AG20" s="7" t="inlineStr">
        <is>
          <t>010-0043</t>
        </is>
      </c>
      <c r="AH20" s="7" t="inlineStr">
        <is>
          <t>ジョシュミル</t>
        </is>
      </c>
      <c r="AI20" s="7" t="n">
        <f>BB20&amp;BC20&amp;BA20</f>
        <v>0.0</v>
      </c>
      <c r="AJ20" s="7" t="inlineStr">
        <is>
          <t xml:space="preserve"> 050-3092-1704</t>
        </is>
      </c>
      <c r="AK20" s="39" t="inlineStr">
        <is>
          <t>C</t>
        </is>
      </c>
      <c r="AL20" s="39" t="n">
        <v>1.0</v>
      </c>
      <c r="AM20" s="27" t="n">
        <f>IF(OR(ISNUMBER(SEARCH("amazon",AH20)),ISNUMBER(SEARCH("亚马逊",AH20))),"PUS001",IF(OR(ISNUMBER(SEARCH("rakuten",AH20)),ISNUMBER(SEARCH("楽天",AH20)),ISNUMBER(SEARCH("乐天",AH20))),"PJP001",IF(ISNUMBER(SEARCH("tik tok shop",AH20)),"PSG003",IF(ISNUMBER(SEARCH("temu",AH20)),"PSG001",IF(ISNUMBER(SEARCH("shein",AH20)),"JSG001",IF(OR(ISNUMBER(SEARCH("yahoo",AH20)),ISNUMBER(SEARCH("雅虎",AH20)),ISNUMBER(SEARCH("雅",AH20)),LEFT(UPPER(AH20),1)="Y"),"PJP005",IF(ISNUMBER(SEARCH("DDA JAPAN",AH20)),CHOOSE(RANDBETWEEN(1,3),"temu","PSG003","PSG001"),"JCNZZZ")))))))</f>
        <v>0.0</v>
      </c>
      <c r="AN20" s="7" t="n">
        <f>IF(ISNUMBER(SEARCH("JCNZZZ",AM20)),CHOOSE(RANDBETWEEN(1,4),"TAOBAO0","JinDdong","PingDduoDduo","ALIBABA"),"")</f>
        <v>0.0</v>
      </c>
      <c r="AU20" s="7" t="inlineStr">
        <is>
          <t>秋田県</t>
        </is>
      </c>
      <c r="AV20" s="7" t="inlineStr">
        <is>
          <t>秋田市</t>
        </is>
      </c>
      <c r="AW20" s="7" t="inlineStr">
        <is>
          <t>桜ガ丘3丁目7-15</t>
        </is>
      </c>
      <c r="AX20" s="7" t="inlineStr">
        <is>
          <t>pet anti-scratch spray</t>
        </is>
      </c>
      <c r="AY20" s="7" t="inlineStr">
        <is>
          <t>plastic</t>
        </is>
      </c>
      <c r="AZ20" s="7" t="n">
        <v>15.0</v>
      </c>
      <c r="BA20" s="7" t="inlineStr">
        <is>
          <t xml:space="preserve"> 山形県山形市上町２－９－５</t>
        </is>
      </c>
      <c r="BB20" s="7"/>
      <c r="BC20" s="7"/>
      <c r="BD20" s="7"/>
    </row>
    <row r="21" customHeight="true" ht="33.0">
      <c r="A21" s="13" t="inlineStr">
        <is>
          <t>DIDA</t>
        </is>
      </c>
      <c r="B21" s="14"/>
      <c r="C21" s="15" t="inlineStr">
        <is>
          <t>365027492815</t>
        </is>
      </c>
      <c r="D21" s="15" t="inlineStr">
        <is>
          <t>365027492815</t>
        </is>
      </c>
      <c r="E21" s="7" t="n">
        <v>1.0</v>
      </c>
      <c r="F21" s="11" t="n">
        <v>2.49</v>
      </c>
      <c r="G21" s="7" t="inlineStr">
        <is>
          <t>KGM</t>
        </is>
      </c>
      <c r="H21" s="16" t="n">
        <f>UPPER(AX21)</f>
        <v>0.0</v>
      </c>
      <c r="I21" s="16" t="n">
        <f>UPPER(AY21)</f>
        <v>0.0</v>
      </c>
      <c r="J21" s="16" t="inlineStr">
        <is>
          <t>戸高 太輔</t>
        </is>
      </c>
      <c r="K21" s="25" t="n">
        <f>UPPER(J21)</f>
        <v>0.0</v>
      </c>
      <c r="L21" s="25"/>
      <c r="M21" s="26" t="n">
        <f>AU21&amp;AV21&amp;AW21&amp;BD21</f>
        <v>0.0</v>
      </c>
      <c r="N21" s="27" t="n">
        <f>UPPER(M21)</f>
        <v>0.0</v>
      </c>
      <c r="O21" s="28" t="n">
        <f>MID(N21,MIN(IFERROR(FIND({0,1,2,3,4,5,6,7,8,9},N21),LEN(N21)+1)),LEN(N21))</f>
        <v>0.0</v>
      </c>
      <c r="P21" s="28" t="n">
        <f>L21&amp;" "&amp;O21</f>
        <v>0.0</v>
      </c>
      <c r="Q21" s="27" t="inlineStr">
        <is>
          <t>431-0103</t>
        </is>
      </c>
      <c r="R21" s="30" t="inlineStr">
        <is>
          <t>053-489-3354</t>
        </is>
      </c>
      <c r="S21" s="31" t="inlineStr">
        <is>
          <t xml:space="preserve">HUI ZHOU JING SHAN GONG MAO YOU XIAN GONG SI </t>
        </is>
      </c>
      <c r="T21" s="31" t="inlineStr">
        <is>
          <t>GUANG DONG SHENG HUI ZHOU SHI HUI CHENG QU QIAO DONG JIE DAO HUI ZHOU SHI HUI ZHOU DA DAO 108 HAO</t>
        </is>
      </c>
      <c r="U21" s="32" t="inlineStr">
        <is>
          <t>C&amp;F</t>
        </is>
      </c>
      <c r="V21" s="32" t="inlineStr">
        <is>
          <t>JPY</t>
        </is>
      </c>
      <c r="W21" s="33"/>
      <c r="X21" s="34" t="n">
        <f>INT(AZ21)</f>
        <v>0.0</v>
      </c>
      <c r="Y21" s="32" t="inlineStr">
        <is>
          <t>A</t>
        </is>
      </c>
      <c r="Z21" s="32" t="inlineStr">
        <is>
          <t>JPY</t>
        </is>
      </c>
      <c r="AA21" s="32"/>
      <c r="AB21" s="32" t="inlineStr">
        <is>
          <t>CN</t>
        </is>
      </c>
      <c r="AD21" s="27" t="inlineStr">
        <is>
          <t>戸高 太輔</t>
        </is>
      </c>
      <c r="AE21" s="7" t="n">
        <f>AU21&amp;AV21&amp;AW21&amp;BD21</f>
        <v>0.0</v>
      </c>
      <c r="AF21" s="7" t="inlineStr">
        <is>
          <t>053-489-3354</t>
        </is>
      </c>
      <c r="AG21" s="7" t="inlineStr">
        <is>
          <t>431-0103</t>
        </is>
      </c>
      <c r="AH21" s="7" t="inlineStr">
        <is>
          <t>I.M.P楽天市場店</t>
        </is>
      </c>
      <c r="AI21" s="7" t="n">
        <f>BB21&amp;BC21&amp;BA21</f>
        <v>0.0</v>
      </c>
      <c r="AJ21" s="7" t="inlineStr">
        <is>
          <t xml:space="preserve"> 050-3092-1704</t>
        </is>
      </c>
      <c r="AK21" s="39" t="inlineStr">
        <is>
          <t>C</t>
        </is>
      </c>
      <c r="AL21" s="39" t="n">
        <v>1.0</v>
      </c>
      <c r="AM21" s="27" t="n">
        <f>IF(OR(ISNUMBER(SEARCH("amazon",AH21)),ISNUMBER(SEARCH("亚马逊",AH21))),"PUS001",IF(OR(ISNUMBER(SEARCH("rakuten",AH21)),ISNUMBER(SEARCH("楽天",AH21)),ISNUMBER(SEARCH("乐天",AH21))),"PJP001",IF(ISNUMBER(SEARCH("tik tok shop",AH21)),"PSG003",IF(ISNUMBER(SEARCH("temu",AH21)),"PSG001",IF(ISNUMBER(SEARCH("shein",AH21)),"JSG001",IF(OR(ISNUMBER(SEARCH("yahoo",AH21)),ISNUMBER(SEARCH("雅虎",AH21)),ISNUMBER(SEARCH("雅",AH21)),LEFT(UPPER(AH21),1)="Y"),"PJP005",IF(ISNUMBER(SEARCH("DDA JAPAN",AH21)),CHOOSE(RANDBETWEEN(1,3),"temu","PSG003","PSG001"),"JCNZZZ")))))))</f>
        <v>0.0</v>
      </c>
      <c r="AN21" s="7" t="n">
        <f>IF(ISNUMBER(SEARCH("JCNZZZ",AM21)),CHOOSE(RANDBETWEEN(1,4),"TAOBAO0","JinDdong","PingDduoDduo","ALIBABA"),"")</f>
        <v>0.0</v>
      </c>
      <c r="AU21" s="7" t="inlineStr">
        <is>
          <t>静岡県</t>
        </is>
      </c>
      <c r="AV21" s="7" t="inlineStr">
        <is>
          <t>浜松市中央区</t>
        </is>
      </c>
      <c r="AW21" s="7" t="inlineStr">
        <is>
          <t>雄踏1丁目7-20</t>
        </is>
      </c>
      <c r="AX21" s="7" t="inlineStr">
        <is>
          <t>Toys</t>
        </is>
      </c>
      <c r="AY21" s="7" t="inlineStr">
        <is>
          <t>plastics</t>
        </is>
      </c>
      <c r="AZ21" s="7" t="n">
        <v>15.0</v>
      </c>
      <c r="BA21" s="7" t="inlineStr">
        <is>
          <t xml:space="preserve"> 滋賀県甲賀市甲南町野尻558</t>
        </is>
      </c>
      <c r="BB21" s="7"/>
      <c r="BC21" s="7"/>
      <c r="BD21" s="7"/>
    </row>
    <row r="22" customHeight="true" ht="33.0">
      <c r="A22" s="13" t="inlineStr">
        <is>
          <t>DIDA</t>
        </is>
      </c>
      <c r="B22" s="14"/>
      <c r="C22" s="15" t="inlineStr">
        <is>
          <t>365027492911</t>
        </is>
      </c>
      <c r="D22" s="15" t="inlineStr">
        <is>
          <t>365027492911</t>
        </is>
      </c>
      <c r="E22" s="7" t="n">
        <v>1.0</v>
      </c>
      <c r="F22" s="11" t="n">
        <v>0.52</v>
      </c>
      <c r="G22" s="7" t="inlineStr">
        <is>
          <t>KGM</t>
        </is>
      </c>
      <c r="H22" s="16" t="n">
        <f>UPPER(AX22)</f>
        <v>0.0</v>
      </c>
      <c r="I22" s="16" t="n">
        <f>UPPER(AY22)</f>
        <v>0.0</v>
      </c>
      <c r="J22" s="16" t="inlineStr">
        <is>
          <t>塩屋 歩</t>
        </is>
      </c>
      <c r="K22" s="25" t="n">
        <f>UPPER(J22)</f>
        <v>0.0</v>
      </c>
      <c r="L22" s="25"/>
      <c r="M22" s="26" t="n">
        <f>AU22&amp;AV22&amp;AW22&amp;BD22</f>
        <v>0.0</v>
      </c>
      <c r="N22" s="27" t="n">
        <f>UPPER(M22)</f>
        <v>0.0</v>
      </c>
      <c r="O22" s="28" t="n">
        <f>MID(N22,MIN(IFERROR(FIND({0,1,2,3,4,5,6,7,8,9},N22),LEN(N22)+1)),LEN(N22))</f>
        <v>0.0</v>
      </c>
      <c r="P22" s="28" t="n">
        <f>L22&amp;" "&amp;O22</f>
        <v>0.0</v>
      </c>
      <c r="Q22" s="27" t="inlineStr">
        <is>
          <t>545-0043</t>
        </is>
      </c>
      <c r="R22" s="30" t="inlineStr">
        <is>
          <t>090-2060-5608</t>
        </is>
      </c>
      <c r="S22" s="31" t="inlineStr">
        <is>
          <t xml:space="preserve">HUI ZHOU JING SHAN GONG MAO YOU XIAN GONG SI </t>
        </is>
      </c>
      <c r="T22" s="31" t="inlineStr">
        <is>
          <t>GUANG DONG SHENG HUI ZHOU SHI HUI CHENG QU QIAO DONG JIE DAO HUI ZHOU SHI HUI ZHOU DA DAO 108 HAO</t>
        </is>
      </c>
      <c r="U22" s="32" t="inlineStr">
        <is>
          <t>C&amp;F</t>
        </is>
      </c>
      <c r="V22" s="32" t="inlineStr">
        <is>
          <t>JPY</t>
        </is>
      </c>
      <c r="W22" s="33"/>
      <c r="X22" s="34" t="n">
        <f>INT(AZ22)</f>
        <v>0.0</v>
      </c>
      <c r="Y22" s="32" t="inlineStr">
        <is>
          <t>A</t>
        </is>
      </c>
      <c r="Z22" s="32" t="inlineStr">
        <is>
          <t>JPY</t>
        </is>
      </c>
      <c r="AA22" s="32"/>
      <c r="AB22" s="32" t="inlineStr">
        <is>
          <t>CN</t>
        </is>
      </c>
      <c r="AD22" s="27" t="inlineStr">
        <is>
          <t>塩屋 歩</t>
        </is>
      </c>
      <c r="AE22" s="7" t="n">
        <f>AU22&amp;AV22&amp;AW22&amp;BD22</f>
        <v>0.0</v>
      </c>
      <c r="AF22" s="7" t="inlineStr">
        <is>
          <t>090-2060-5608</t>
        </is>
      </c>
      <c r="AG22" s="7" t="inlineStr">
        <is>
          <t>545-0043</t>
        </is>
      </c>
      <c r="AH22" s="7" t="inlineStr">
        <is>
          <t>I.M.P楽天市場店</t>
        </is>
      </c>
      <c r="AI22" s="7" t="n">
        <f>BB22&amp;BC22&amp;BA22</f>
        <v>0.0</v>
      </c>
      <c r="AJ22" s="7" t="inlineStr">
        <is>
          <t xml:space="preserve"> 050-3092-1704</t>
        </is>
      </c>
      <c r="AK22" s="39" t="inlineStr">
        <is>
          <t>C</t>
        </is>
      </c>
      <c r="AL22" s="39" t="n">
        <v>1.0</v>
      </c>
      <c r="AM22" s="27" t="n">
        <f>IF(OR(ISNUMBER(SEARCH("amazon",AH22)),ISNUMBER(SEARCH("亚马逊",AH22))),"PUS001",IF(OR(ISNUMBER(SEARCH("rakuten",AH22)),ISNUMBER(SEARCH("楽天",AH22)),ISNUMBER(SEARCH("乐天",AH22))),"PJP001",IF(ISNUMBER(SEARCH("tik tok shop",AH22)),"PSG003",IF(ISNUMBER(SEARCH("temu",AH22)),"PSG001",IF(ISNUMBER(SEARCH("shein",AH22)),"JSG001",IF(OR(ISNUMBER(SEARCH("yahoo",AH22)),ISNUMBER(SEARCH("雅虎",AH22)),ISNUMBER(SEARCH("雅",AH22)),LEFT(UPPER(AH22),1)="Y"),"PJP005",IF(ISNUMBER(SEARCH("DDA JAPAN",AH22)),CHOOSE(RANDBETWEEN(1,3),"temu","PSG003","PSG001"),"JCNZZZ")))))))</f>
        <v>0.0</v>
      </c>
      <c r="AN22" s="7" t="n">
        <f>IF(ISNUMBER(SEARCH("JCNZZZ",AM22)),CHOOSE(RANDBETWEEN(1,4),"TAOBAO0","JinDdong","PingDduoDduo","ALIBABA"),"")</f>
        <v>0.0</v>
      </c>
      <c r="AU22" s="7" t="inlineStr">
        <is>
          <t>大阪府</t>
        </is>
      </c>
      <c r="AV22" s="7" t="inlineStr">
        <is>
          <t>大阪市阿倍野区</t>
        </is>
      </c>
      <c r="AW22" s="7" t="inlineStr">
        <is>
          <t>松虫通2-4-4</t>
        </is>
      </c>
      <c r="AX22" s="7" t="inlineStr">
        <is>
          <t>Beach toys</t>
        </is>
      </c>
      <c r="AY22" s="7" t="inlineStr">
        <is>
          <t>plastic</t>
        </is>
      </c>
      <c r="AZ22" s="7" t="n">
        <v>12.0</v>
      </c>
      <c r="BA22" s="7" t="inlineStr">
        <is>
          <t xml:space="preserve"> 滋賀県甲賀市甲南町野尻558</t>
        </is>
      </c>
      <c r="BB22" s="7"/>
      <c r="BC22" s="7"/>
      <c r="BD22" s="7"/>
    </row>
    <row r="23" customHeight="true" ht="33.0">
      <c r="A23" s="13" t="inlineStr">
        <is>
          <t>DIDA</t>
        </is>
      </c>
      <c r="B23" s="14"/>
      <c r="C23" s="15" t="inlineStr">
        <is>
          <t>365027492826</t>
        </is>
      </c>
      <c r="D23" s="15" t="inlineStr">
        <is>
          <t>365027492826</t>
        </is>
      </c>
      <c r="E23" s="7" t="n">
        <v>1.0</v>
      </c>
      <c r="F23" s="11" t="n">
        <v>0.46</v>
      </c>
      <c r="G23" s="7" t="inlineStr">
        <is>
          <t>KGM</t>
        </is>
      </c>
      <c r="H23" s="16" t="n">
        <f>UPPER(AX23)</f>
        <v>0.0</v>
      </c>
      <c r="I23" s="16" t="n">
        <f>UPPER(AY23)</f>
        <v>0.0</v>
      </c>
      <c r="J23" s="16" t="inlineStr">
        <is>
          <t>上久保 嘉裕</t>
        </is>
      </c>
      <c r="K23" s="25" t="n">
        <f>UPPER(J23)</f>
        <v>0.0</v>
      </c>
      <c r="L23" s="25"/>
      <c r="M23" s="26" t="n">
        <f>AU23&amp;AV23&amp;AW23&amp;BD23</f>
        <v>0.0</v>
      </c>
      <c r="N23" s="27" t="n">
        <f>UPPER(M23)</f>
        <v>0.0</v>
      </c>
      <c r="O23" s="28" t="n">
        <f>MID(N23,MIN(IFERROR(FIND({0,1,2,3,4,5,6,7,8,9},N23),LEN(N23)+1)),LEN(N23))</f>
        <v>0.0</v>
      </c>
      <c r="P23" s="28" t="n">
        <f>L23&amp;" "&amp;O23</f>
        <v>0.0</v>
      </c>
      <c r="Q23" s="27" t="inlineStr">
        <is>
          <t>358-0031</t>
        </is>
      </c>
      <c r="R23" s="30" t="inlineStr">
        <is>
          <t>04-2964-5467</t>
        </is>
      </c>
      <c r="S23" s="31" t="inlineStr">
        <is>
          <t xml:space="preserve">HUI ZHOU JING SHAN GONG MAO YOU XIAN GONG SI </t>
        </is>
      </c>
      <c r="T23" s="31" t="inlineStr">
        <is>
          <t>GUANG DONG SHENG HUI ZHOU SHI HUI CHENG QU QIAO DONG JIE DAO HUI ZHOU SHI HUI ZHOU DA DAO 108 HAO</t>
        </is>
      </c>
      <c r="U23" s="32" t="inlineStr">
        <is>
          <t>C&amp;F</t>
        </is>
      </c>
      <c r="V23" s="32" t="inlineStr">
        <is>
          <t>JPY</t>
        </is>
      </c>
      <c r="W23" s="33"/>
      <c r="X23" s="34" t="n">
        <f>INT(AZ23)</f>
        <v>0.0</v>
      </c>
      <c r="Y23" s="32" t="inlineStr">
        <is>
          <t>A</t>
        </is>
      </c>
      <c r="Z23" s="32" t="inlineStr">
        <is>
          <t>JPY</t>
        </is>
      </c>
      <c r="AA23" s="32"/>
      <c r="AB23" s="32" t="inlineStr">
        <is>
          <t>CN</t>
        </is>
      </c>
      <c r="AD23" s="27" t="inlineStr">
        <is>
          <t>上久保 嘉裕</t>
        </is>
      </c>
      <c r="AE23" s="7" t="n">
        <f>AU23&amp;AV23&amp;AW23&amp;BD23</f>
        <v>0.0</v>
      </c>
      <c r="AF23" s="7" t="inlineStr">
        <is>
          <t>04-2964-5467</t>
        </is>
      </c>
      <c r="AG23" s="7" t="inlineStr">
        <is>
          <t>358-0031</t>
        </is>
      </c>
      <c r="AH23" s="7" t="inlineStr">
        <is>
          <t>ジョシュミル</t>
        </is>
      </c>
      <c r="AI23" s="7" t="n">
        <f>BB23&amp;BC23&amp;BA23</f>
        <v>0.0</v>
      </c>
      <c r="AJ23" s="7" t="inlineStr">
        <is>
          <t xml:space="preserve"> 050-3092-1704</t>
        </is>
      </c>
      <c r="AK23" s="39" t="inlineStr">
        <is>
          <t>C</t>
        </is>
      </c>
      <c r="AL23" s="39" t="n">
        <v>1.0</v>
      </c>
      <c r="AM23" s="27" t="n">
        <f>IF(OR(ISNUMBER(SEARCH("amazon",AH23)),ISNUMBER(SEARCH("亚马逊",AH23))),"PUS001",IF(OR(ISNUMBER(SEARCH("rakuten",AH23)),ISNUMBER(SEARCH("楽天",AH23)),ISNUMBER(SEARCH("乐天",AH23))),"PJP001",IF(ISNUMBER(SEARCH("tik tok shop",AH23)),"PSG003",IF(ISNUMBER(SEARCH("temu",AH23)),"PSG001",IF(ISNUMBER(SEARCH("shein",AH23)),"JSG001",IF(OR(ISNUMBER(SEARCH("yahoo",AH23)),ISNUMBER(SEARCH("雅虎",AH23)),ISNUMBER(SEARCH("雅",AH23)),LEFT(UPPER(AH23),1)="Y"),"PJP005",IF(ISNUMBER(SEARCH("DDA JAPAN",AH23)),CHOOSE(RANDBETWEEN(1,3),"temu","PSG003","PSG001"),"JCNZZZ")))))))</f>
        <v>0.0</v>
      </c>
      <c r="AN23" s="7" t="n">
        <f>IF(ISNUMBER(SEARCH("JCNZZZ",AM23)),CHOOSE(RANDBETWEEN(1,4),"TAOBAO0","JinDdong","PingDduoDduo","ALIBABA"),"")</f>
        <v>0.0</v>
      </c>
      <c r="AU23" s="7" t="inlineStr">
        <is>
          <t>埼玉県</t>
        </is>
      </c>
      <c r="AV23" s="7" t="inlineStr">
        <is>
          <t>入間市</t>
        </is>
      </c>
      <c r="AW23" s="7" t="inlineStr">
        <is>
          <t>新久936-14</t>
        </is>
      </c>
      <c r="AX23" s="7" t="inlineStr">
        <is>
          <t>Cleaning products</t>
        </is>
      </c>
      <c r="AY23" s="7" t="inlineStr">
        <is>
          <t>Plastic, sponge</t>
        </is>
      </c>
      <c r="AZ23" s="7" t="n">
        <v>12.0</v>
      </c>
      <c r="BA23" s="7" t="inlineStr">
        <is>
          <t xml:space="preserve"> 山形県山形市上町２－９－５</t>
        </is>
      </c>
      <c r="BB23" s="7"/>
      <c r="BC23" s="7"/>
      <c r="BD23" s="7"/>
    </row>
    <row r="24" customHeight="true" ht="33.0">
      <c r="A24" s="13" t="inlineStr">
        <is>
          <t>DIDA</t>
        </is>
      </c>
      <c r="B24" s="14"/>
      <c r="C24" s="15" t="inlineStr">
        <is>
          <t>365027493250</t>
        </is>
      </c>
      <c r="D24" s="15" t="inlineStr">
        <is>
          <t>365027493250</t>
        </is>
      </c>
      <c r="E24" s="7" t="n">
        <v>1.0</v>
      </c>
      <c r="F24" s="11" t="n">
        <v>0.29</v>
      </c>
      <c r="G24" s="7" t="inlineStr">
        <is>
          <t>KGM</t>
        </is>
      </c>
      <c r="H24" s="16" t="n">
        <f>UPPER(AX24)</f>
        <v>0.0</v>
      </c>
      <c r="I24" s="16" t="n">
        <f>UPPER(AY24)</f>
        <v>0.0</v>
      </c>
      <c r="J24" s="16" t="inlineStr">
        <is>
          <t>山崎 亜矢子</t>
        </is>
      </c>
      <c r="K24" s="25" t="n">
        <f>UPPER(J24)</f>
        <v>0.0</v>
      </c>
      <c r="L24" s="25"/>
      <c r="M24" s="26" t="n">
        <f>AU24&amp;AV24&amp;AW24&amp;BD24</f>
        <v>0.0</v>
      </c>
      <c r="N24" s="27" t="n">
        <f>UPPER(M24)</f>
        <v>0.0</v>
      </c>
      <c r="O24" s="28" t="n">
        <f>MID(N24,MIN(IFERROR(FIND({0,1,2,3,4,5,6,7,8,9},N24),LEN(N24)+1)),LEN(N24))</f>
        <v>0.0</v>
      </c>
      <c r="P24" s="28" t="n">
        <f>L24&amp;" "&amp;O24</f>
        <v>0.0</v>
      </c>
      <c r="Q24" s="27" t="inlineStr">
        <is>
          <t>086-1021</t>
        </is>
      </c>
      <c r="R24" s="30" t="inlineStr">
        <is>
          <t>090-2691-4664</t>
        </is>
      </c>
      <c r="S24" s="31" t="inlineStr">
        <is>
          <t xml:space="preserve">HUI ZHOU JING SHAN GONG MAO YOU XIAN GONG SI </t>
        </is>
      </c>
      <c r="T24" s="31" t="inlineStr">
        <is>
          <t>GUANG DONG SHENG HUI ZHOU SHI HUI CHENG QU QIAO DONG JIE DAO HUI ZHOU SHI HUI ZHOU DA DAO 108 HAO</t>
        </is>
      </c>
      <c r="U24" s="32" t="inlineStr">
        <is>
          <t>C&amp;F</t>
        </is>
      </c>
      <c r="V24" s="32" t="inlineStr">
        <is>
          <t>JPY</t>
        </is>
      </c>
      <c r="W24" s="33"/>
      <c r="X24" s="34" t="n">
        <f>INT(AZ24)</f>
        <v>0.0</v>
      </c>
      <c r="Y24" s="32" t="inlineStr">
        <is>
          <t>A</t>
        </is>
      </c>
      <c r="Z24" s="32" t="inlineStr">
        <is>
          <t>JPY</t>
        </is>
      </c>
      <c r="AA24" s="32"/>
      <c r="AB24" s="32" t="inlineStr">
        <is>
          <t>CN</t>
        </is>
      </c>
      <c r="AD24" s="27" t="inlineStr">
        <is>
          <t>山崎 亜矢子</t>
        </is>
      </c>
      <c r="AE24" s="7" t="n">
        <f>AU24&amp;AV24&amp;AW24&amp;BD24</f>
        <v>0.0</v>
      </c>
      <c r="AF24" s="7" t="inlineStr">
        <is>
          <t>090-2691-4664</t>
        </is>
      </c>
      <c r="AG24" s="7" t="inlineStr">
        <is>
          <t>086-1021</t>
        </is>
      </c>
      <c r="AH24" s="7" t="inlineStr">
        <is>
          <t>ラッキーストライク</t>
        </is>
      </c>
      <c r="AI24" s="7" t="n">
        <f>BB24&amp;BC24&amp;BA24</f>
        <v>0.0</v>
      </c>
      <c r="AJ24" s="7" t="inlineStr">
        <is>
          <t xml:space="preserve"> 05030911547</t>
        </is>
      </c>
      <c r="AK24" s="39" t="inlineStr">
        <is>
          <t>C</t>
        </is>
      </c>
      <c r="AL24" s="39" t="n">
        <v>1.0</v>
      </c>
      <c r="AM24" s="27" t="n">
        <f>IF(OR(ISNUMBER(SEARCH("amazon",AH24)),ISNUMBER(SEARCH("亚马逊",AH24))),"PUS001",IF(OR(ISNUMBER(SEARCH("rakuten",AH24)),ISNUMBER(SEARCH("楽天",AH24)),ISNUMBER(SEARCH("乐天",AH24))),"PJP001",IF(ISNUMBER(SEARCH("tik tok shop",AH24)),"PSG003",IF(ISNUMBER(SEARCH("temu",AH24)),"PSG001",IF(ISNUMBER(SEARCH("shein",AH24)),"JSG001",IF(OR(ISNUMBER(SEARCH("yahoo",AH24)),ISNUMBER(SEARCH("雅虎",AH24)),ISNUMBER(SEARCH("雅",AH24)),LEFT(UPPER(AH24),1)="Y"),"PJP005",IF(ISNUMBER(SEARCH("DDA JAPAN",AH24)),CHOOSE(RANDBETWEEN(1,3),"temu","PSG003","PSG001"),"JCNZZZ")))))))</f>
        <v>0.0</v>
      </c>
      <c r="AN24" s="7" t="n">
        <f>IF(ISNUMBER(SEARCH("JCNZZZ",AM24)),CHOOSE(RANDBETWEEN(1,4),"TAOBAO0","JinDdong","PingDduoDduo","ALIBABA"),"")</f>
        <v>0.0</v>
      </c>
      <c r="AU24" s="7" t="inlineStr">
        <is>
          <t>北海道</t>
        </is>
      </c>
      <c r="AV24" s="7" t="inlineStr">
        <is>
          <t>標津郡中標津町</t>
        </is>
      </c>
      <c r="AW24" s="7" t="inlineStr">
        <is>
          <t>東21条南9丁目10番地17</t>
        </is>
      </c>
      <c r="AX24" s="7" t="inlineStr">
        <is>
          <t>Christmas hat</t>
        </is>
      </c>
      <c r="AY24" s="7" t="inlineStr">
        <is>
          <t>Polyester</t>
        </is>
      </c>
      <c r="AZ24" s="7" t="n">
        <v>12.0</v>
      </c>
      <c r="BA24" s="7" t="inlineStr">
        <is>
          <t xml:space="preserve"> 東京都西多摩郡奥多摩町留浦１０１８</t>
        </is>
      </c>
      <c r="BB24" s="7"/>
      <c r="BC24" s="7"/>
      <c r="BD24" s="7"/>
    </row>
    <row r="25" customHeight="true" ht="33.0">
      <c r="A25" s="13" t="inlineStr">
        <is>
          <t>DIDA</t>
        </is>
      </c>
      <c r="B25" s="14"/>
      <c r="C25" s="15" t="inlineStr">
        <is>
          <t>365027492782</t>
        </is>
      </c>
      <c r="D25" s="15" t="inlineStr">
        <is>
          <t>365027492782</t>
        </is>
      </c>
      <c r="E25" s="7" t="n">
        <v>1.0</v>
      </c>
      <c r="F25" s="11" t="n">
        <v>1.28</v>
      </c>
      <c r="G25" s="7" t="inlineStr">
        <is>
          <t>KGM</t>
        </is>
      </c>
      <c r="H25" s="16" t="n">
        <f>UPPER(AX25)</f>
        <v>0.0</v>
      </c>
      <c r="I25" s="16" t="n">
        <f>UPPER(AY25)</f>
        <v>0.0</v>
      </c>
      <c r="J25" s="16" t="inlineStr">
        <is>
          <t>梶原</t>
        </is>
      </c>
      <c r="K25" s="25" t="n">
        <f>UPPER(J25)</f>
        <v>0.0</v>
      </c>
      <c r="L25" s="25"/>
      <c r="M25" s="26" t="n">
        <f>AU25&amp;AV25&amp;AW25&amp;BD25</f>
        <v>0.0</v>
      </c>
      <c r="N25" s="27" t="n">
        <f>UPPER(M25)</f>
        <v>0.0</v>
      </c>
      <c r="O25" s="28" t="n">
        <f>MID(N25,MIN(IFERROR(FIND({0,1,2,3,4,5,6,7,8,9},N25),LEN(N25)+1)),LEN(N25))</f>
        <v>0.0</v>
      </c>
      <c r="P25" s="28" t="n">
        <f>L25&amp;" "&amp;O25</f>
        <v>0.0</v>
      </c>
      <c r="Q25" s="27" t="inlineStr">
        <is>
          <t>060-0062</t>
        </is>
      </c>
      <c r="R25" s="30" t="inlineStr">
        <is>
          <t>090-2311-6018</t>
        </is>
      </c>
      <c r="S25" s="31" t="inlineStr">
        <is>
          <t xml:space="preserve">HUI ZHOU JING SHAN GONG MAO YOU XIAN GONG SI </t>
        </is>
      </c>
      <c r="T25" s="31" t="inlineStr">
        <is>
          <t>GUANG DONG SHENG HUI ZHOU SHI HUI CHENG QU QIAO DONG JIE DAO HUI ZHOU SHI HUI ZHOU DA DAO 108 HAO</t>
        </is>
      </c>
      <c r="U25" s="32" t="inlineStr">
        <is>
          <t>C&amp;F</t>
        </is>
      </c>
      <c r="V25" s="32" t="inlineStr">
        <is>
          <t>JPY</t>
        </is>
      </c>
      <c r="W25" s="33"/>
      <c r="X25" s="34" t="n">
        <f>INT(AZ25)</f>
        <v>0.0</v>
      </c>
      <c r="Y25" s="32" t="inlineStr">
        <is>
          <t>A</t>
        </is>
      </c>
      <c r="Z25" s="32" t="inlineStr">
        <is>
          <t>JPY</t>
        </is>
      </c>
      <c r="AA25" s="32"/>
      <c r="AB25" s="32" t="inlineStr">
        <is>
          <t>CN</t>
        </is>
      </c>
      <c r="AD25" s="27" t="inlineStr">
        <is>
          <t>梶原</t>
        </is>
      </c>
      <c r="AE25" s="7" t="n">
        <f>AU25&amp;AV25&amp;AW25&amp;BD25</f>
        <v>0.0</v>
      </c>
      <c r="AF25" s="7" t="inlineStr">
        <is>
          <t>090-2311-6018</t>
        </is>
      </c>
      <c r="AG25" s="7" t="inlineStr">
        <is>
          <t>060-0062</t>
        </is>
      </c>
      <c r="AH25" s="7" t="inlineStr">
        <is>
          <t>ジョシュミル</t>
        </is>
      </c>
      <c r="AI25" s="7" t="n">
        <f>BB25&amp;BC25&amp;BA25</f>
        <v>0.0</v>
      </c>
      <c r="AJ25" s="7" t="inlineStr">
        <is>
          <t xml:space="preserve"> 050-3092-1704</t>
        </is>
      </c>
      <c r="AK25" s="39" t="inlineStr">
        <is>
          <t>C</t>
        </is>
      </c>
      <c r="AL25" s="39" t="n">
        <v>1.0</v>
      </c>
      <c r="AM25" s="27" t="n">
        <f>IF(OR(ISNUMBER(SEARCH("amazon",AH25)),ISNUMBER(SEARCH("亚马逊",AH25))),"PUS001",IF(OR(ISNUMBER(SEARCH("rakuten",AH25)),ISNUMBER(SEARCH("楽天",AH25)),ISNUMBER(SEARCH("乐天",AH25))),"PJP001",IF(ISNUMBER(SEARCH("tik tok shop",AH25)),"PSG003",IF(ISNUMBER(SEARCH("temu",AH25)),"PSG001",IF(ISNUMBER(SEARCH("shein",AH25)),"JSG001",IF(OR(ISNUMBER(SEARCH("yahoo",AH25)),ISNUMBER(SEARCH("雅虎",AH25)),ISNUMBER(SEARCH("雅",AH25)),LEFT(UPPER(AH25),1)="Y"),"PJP005",IF(ISNUMBER(SEARCH("DDA JAPAN",AH25)),CHOOSE(RANDBETWEEN(1,3),"temu","PSG003","PSG001"),"JCNZZZ")))))))</f>
        <v>0.0</v>
      </c>
      <c r="AN25" s="7" t="n">
        <f>IF(ISNUMBER(SEARCH("JCNZZZ",AM25)),CHOOSE(RANDBETWEEN(1,4),"TAOBAO0","JinDdong","PingDduoDduo","ALIBABA"),"")</f>
        <v>0.0</v>
      </c>
      <c r="AU25" s="7" t="inlineStr">
        <is>
          <t>北海道</t>
        </is>
      </c>
      <c r="AV25" s="7" t="inlineStr">
        <is>
          <t>札幌市中央区</t>
        </is>
      </c>
      <c r="AW25" s="7" t="inlineStr">
        <is>
          <t>南二条西6-5-3住友狸小路プラザハウス1階せいす</t>
        </is>
      </c>
      <c r="AX25" s="7" t="inlineStr">
        <is>
          <t>Storage tray</t>
        </is>
      </c>
      <c r="AY25" s="7" t="inlineStr">
        <is>
          <t>stainless steel</t>
        </is>
      </c>
      <c r="AZ25" s="7" t="n">
        <v>12.0</v>
      </c>
      <c r="BA25" s="7" t="inlineStr">
        <is>
          <t xml:space="preserve"> 山形県山形市上町２－９－５</t>
        </is>
      </c>
      <c r="BB25" s="7"/>
      <c r="BC25" s="7"/>
      <c r="BD25" s="7"/>
    </row>
    <row r="26" customHeight="true" ht="33.0">
      <c r="A26" s="13" t="inlineStr">
        <is>
          <t>DIDA</t>
        </is>
      </c>
      <c r="B26" s="14"/>
      <c r="C26" s="15" t="inlineStr">
        <is>
          <t>365027493246</t>
        </is>
      </c>
      <c r="D26" s="15" t="inlineStr">
        <is>
          <t>365027493246</t>
        </is>
      </c>
      <c r="E26" s="7" t="n">
        <v>1.0</v>
      </c>
      <c r="F26" s="11" t="n">
        <v>0.49</v>
      </c>
      <c r="G26" s="7" t="inlineStr">
        <is>
          <t>KGM</t>
        </is>
      </c>
      <c r="H26" s="16" t="n">
        <f>UPPER(AX26)</f>
        <v>0.0</v>
      </c>
      <c r="I26" s="16" t="n">
        <f>UPPER(AY26)</f>
        <v>0.0</v>
      </c>
      <c r="J26" s="16" t="inlineStr">
        <is>
          <t>和田 開</t>
        </is>
      </c>
      <c r="K26" s="25" t="n">
        <f>UPPER(J26)</f>
        <v>0.0</v>
      </c>
      <c r="L26" s="25"/>
      <c r="M26" s="26" t="n">
        <f>AU26&amp;AV26&amp;AW26&amp;BD26</f>
        <v>0.0</v>
      </c>
      <c r="N26" s="27" t="n">
        <f>UPPER(M26)</f>
        <v>0.0</v>
      </c>
      <c r="O26" s="28" t="n">
        <f>MID(N26,MIN(IFERROR(FIND({0,1,2,3,4,5,6,7,8,9},N26),LEN(N26)+1)),LEN(N26))</f>
        <v>0.0</v>
      </c>
      <c r="P26" s="28" t="n">
        <f>L26&amp;" "&amp;O26</f>
        <v>0.0</v>
      </c>
      <c r="Q26" s="27" t="inlineStr">
        <is>
          <t>170-0013</t>
        </is>
      </c>
      <c r="R26" s="30" t="inlineStr">
        <is>
          <t>090-3265-5077</t>
        </is>
      </c>
      <c r="S26" s="31" t="inlineStr">
        <is>
          <t xml:space="preserve">HUI ZHOU JING SHAN GONG MAO YOU XIAN GONG SI </t>
        </is>
      </c>
      <c r="T26" s="31" t="inlineStr">
        <is>
          <t>GUANG DONG SHENG HUI ZHOU SHI HUI CHENG QU QIAO DONG JIE DAO HUI ZHOU SHI HUI ZHOU DA DAO 108 HAO</t>
        </is>
      </c>
      <c r="U26" s="32" t="inlineStr">
        <is>
          <t>C&amp;F</t>
        </is>
      </c>
      <c r="V26" s="32" t="inlineStr">
        <is>
          <t>JPY</t>
        </is>
      </c>
      <c r="W26" s="33"/>
      <c r="X26" s="34" t="n">
        <f>INT(AZ26)</f>
        <v>0.0</v>
      </c>
      <c r="Y26" s="32" t="inlineStr">
        <is>
          <t>A</t>
        </is>
      </c>
      <c r="Z26" s="32" t="inlineStr">
        <is>
          <t>JPY</t>
        </is>
      </c>
      <c r="AA26" s="32"/>
      <c r="AB26" s="32" t="inlineStr">
        <is>
          <t>CN</t>
        </is>
      </c>
      <c r="AD26" s="27" t="inlineStr">
        <is>
          <t>和田 開</t>
        </is>
      </c>
      <c r="AE26" s="7" t="n">
        <f>AU26&amp;AV26&amp;AW26&amp;BD26</f>
        <v>0.0</v>
      </c>
      <c r="AF26" s="7" t="inlineStr">
        <is>
          <t>090-3265-5077</t>
        </is>
      </c>
      <c r="AG26" s="7" t="inlineStr">
        <is>
          <t>170-0013</t>
        </is>
      </c>
      <c r="AH26" s="7" t="inlineStr">
        <is>
          <t>ラッキーストライク</t>
        </is>
      </c>
      <c r="AI26" s="7" t="n">
        <f>BB26&amp;BC26&amp;BA26</f>
        <v>0.0</v>
      </c>
      <c r="AJ26" s="7" t="inlineStr">
        <is>
          <t xml:space="preserve"> 05030911547</t>
        </is>
      </c>
      <c r="AK26" s="39" t="inlineStr">
        <is>
          <t>C</t>
        </is>
      </c>
      <c r="AL26" s="39" t="n">
        <v>1.0</v>
      </c>
      <c r="AM26" s="27" t="n">
        <f>IF(OR(ISNUMBER(SEARCH("amazon",AH26)),ISNUMBER(SEARCH("亚马逊",AH26))),"PUS001",IF(OR(ISNUMBER(SEARCH("rakuten",AH26)),ISNUMBER(SEARCH("楽天",AH26)),ISNUMBER(SEARCH("乐天",AH26))),"PJP001",IF(ISNUMBER(SEARCH("tik tok shop",AH26)),"PSG003",IF(ISNUMBER(SEARCH("temu",AH26)),"PSG001",IF(ISNUMBER(SEARCH("shein",AH26)),"JSG001",IF(OR(ISNUMBER(SEARCH("yahoo",AH26)),ISNUMBER(SEARCH("雅虎",AH26)),ISNUMBER(SEARCH("雅",AH26)),LEFT(UPPER(AH26),1)="Y"),"PJP005",IF(ISNUMBER(SEARCH("DDA JAPAN",AH26)),CHOOSE(RANDBETWEEN(1,3),"temu","PSG003","PSG001"),"JCNZZZ")))))))</f>
        <v>0.0</v>
      </c>
      <c r="AN26" s="7" t="n">
        <f>IF(ISNUMBER(SEARCH("JCNZZZ",AM26)),CHOOSE(RANDBETWEEN(1,4),"TAOBAO0","JinDdong","PingDduoDduo","ALIBABA"),"")</f>
        <v>0.0</v>
      </c>
      <c r="AU26" s="7" t="inlineStr">
        <is>
          <t>東京都</t>
        </is>
      </c>
      <c r="AV26" s="7" t="inlineStr">
        <is>
          <t>豊島区</t>
        </is>
      </c>
      <c r="AW26" s="7" t="inlineStr">
        <is>
          <t>東池袋5丁目8-5 602号</t>
        </is>
      </c>
      <c r="AX26" s="7" t="inlineStr">
        <is>
          <t>Cleaning agents</t>
        </is>
      </c>
      <c r="AY26" s="7" t="inlineStr">
        <is>
          <t>Lanolin</t>
        </is>
      </c>
      <c r="AZ26" s="7" t="n">
        <v>12.0</v>
      </c>
      <c r="BA26" s="7" t="inlineStr">
        <is>
          <t xml:space="preserve"> 東京都西多摩郡奥多摩町留浦１０１８</t>
        </is>
      </c>
      <c r="BB26" s="7"/>
      <c r="BC26" s="7"/>
      <c r="BD26" s="7"/>
    </row>
    <row r="27" customHeight="true" ht="33.0">
      <c r="A27" s="13" t="inlineStr">
        <is>
          <t>DIDA</t>
        </is>
      </c>
      <c r="B27" s="14"/>
      <c r="C27" s="15" t="inlineStr">
        <is>
          <t>365027492933</t>
        </is>
      </c>
      <c r="D27" s="15" t="inlineStr">
        <is>
          <t>365027492933</t>
        </is>
      </c>
      <c r="E27" s="7" t="n">
        <v>1.0</v>
      </c>
      <c r="F27" s="11" t="n">
        <v>0.29</v>
      </c>
      <c r="G27" s="7" t="inlineStr">
        <is>
          <t>KGM</t>
        </is>
      </c>
      <c r="H27" s="16" t="n">
        <f>UPPER(AX27)</f>
        <v>0.0</v>
      </c>
      <c r="I27" s="16" t="n">
        <f>UPPER(AY27)</f>
        <v>0.0</v>
      </c>
      <c r="J27" s="16" t="inlineStr">
        <is>
          <t>木村寿範</t>
        </is>
      </c>
      <c r="K27" s="25" t="n">
        <f>UPPER(J27)</f>
        <v>0.0</v>
      </c>
      <c r="L27" s="25"/>
      <c r="M27" s="26" t="n">
        <f>AU27&amp;AV27&amp;AW27&amp;BD27</f>
        <v>0.0</v>
      </c>
      <c r="N27" s="27" t="n">
        <f>UPPER(M27)</f>
        <v>0.0</v>
      </c>
      <c r="O27" s="28" t="n">
        <f>MID(N27,MIN(IFERROR(FIND({0,1,2,3,4,5,6,7,8,9},N27),LEN(N27)+1)),LEN(N27))</f>
        <v>0.0</v>
      </c>
      <c r="P27" s="28" t="n">
        <f>L27&amp;" "&amp;O27</f>
        <v>0.0</v>
      </c>
      <c r="Q27" s="27" t="inlineStr">
        <is>
          <t>021-0852</t>
        </is>
      </c>
      <c r="R27" s="30" t="inlineStr">
        <is>
          <t>0191-23-3182</t>
        </is>
      </c>
      <c r="S27" s="31" t="inlineStr">
        <is>
          <t xml:space="preserve">HUI ZHOU JING SHAN GONG MAO YOU XIAN GONG SI </t>
        </is>
      </c>
      <c r="T27" s="31" t="inlineStr">
        <is>
          <t>GUANG DONG SHENG HUI ZHOU SHI HUI CHENG QU QIAO DONG JIE DAO HUI ZHOU SHI HUI ZHOU DA DAO 108 HAO</t>
        </is>
      </c>
      <c r="U27" s="32" t="inlineStr">
        <is>
          <t>C&amp;F</t>
        </is>
      </c>
      <c r="V27" s="32" t="inlineStr">
        <is>
          <t>JPY</t>
        </is>
      </c>
      <c r="W27" s="33"/>
      <c r="X27" s="34" t="n">
        <f>INT(AZ27)</f>
        <v>0.0</v>
      </c>
      <c r="Y27" s="32" t="inlineStr">
        <is>
          <t>A</t>
        </is>
      </c>
      <c r="Z27" s="32" t="inlineStr">
        <is>
          <t>JPY</t>
        </is>
      </c>
      <c r="AA27" s="32"/>
      <c r="AB27" s="32" t="inlineStr">
        <is>
          <t>CN</t>
        </is>
      </c>
      <c r="AD27" s="27" t="inlineStr">
        <is>
          <t>木村寿範</t>
        </is>
      </c>
      <c r="AE27" s="7" t="n">
        <f>AU27&amp;AV27&amp;AW27&amp;BD27</f>
        <v>0.0</v>
      </c>
      <c r="AF27" s="7" t="inlineStr">
        <is>
          <t>0191-23-3182</t>
        </is>
      </c>
      <c r="AG27" s="7" t="inlineStr">
        <is>
          <t>021-0852</t>
        </is>
      </c>
      <c r="AH27" s="7" t="inlineStr">
        <is>
          <t>I.M.P楽天市場店</t>
        </is>
      </c>
      <c r="AI27" s="7" t="n">
        <f>BB27&amp;BC27&amp;BA27</f>
        <v>0.0</v>
      </c>
      <c r="AJ27" s="7" t="inlineStr">
        <is>
          <t xml:space="preserve"> 050-3092-1704</t>
        </is>
      </c>
      <c r="AK27" s="39" t="inlineStr">
        <is>
          <t>C</t>
        </is>
      </c>
      <c r="AL27" s="39" t="n">
        <v>1.0</v>
      </c>
      <c r="AM27" s="27" t="n">
        <f>IF(OR(ISNUMBER(SEARCH("amazon",AH27)),ISNUMBER(SEARCH("亚马逊",AH27))),"PUS001",IF(OR(ISNUMBER(SEARCH("rakuten",AH27)),ISNUMBER(SEARCH("楽天",AH27)),ISNUMBER(SEARCH("乐天",AH27))),"PJP001",IF(ISNUMBER(SEARCH("tik tok shop",AH27)),"PSG003",IF(ISNUMBER(SEARCH("temu",AH27)),"PSG001",IF(ISNUMBER(SEARCH("shein",AH27)),"JSG001",IF(OR(ISNUMBER(SEARCH("yahoo",AH27)),ISNUMBER(SEARCH("雅虎",AH27)),ISNUMBER(SEARCH("雅",AH27)),LEFT(UPPER(AH27),1)="Y"),"PJP005",IF(ISNUMBER(SEARCH("DDA JAPAN",AH27)),CHOOSE(RANDBETWEEN(1,3),"temu","PSG003","PSG001"),"JCNZZZ")))))))</f>
        <v>0.0</v>
      </c>
      <c r="AN27" s="7" t="n">
        <f>IF(ISNUMBER(SEARCH("JCNZZZ",AM27)),CHOOSE(RANDBETWEEN(1,4),"TAOBAO0","JinDdong","PingDduoDduo","ALIBABA"),"")</f>
        <v>0.0</v>
      </c>
      <c r="AU27" s="7" t="inlineStr">
        <is>
          <t>岩手県</t>
        </is>
      </c>
      <c r="AV27" s="7" t="inlineStr">
        <is>
          <t>一関市</t>
        </is>
      </c>
      <c r="AW27" s="7" t="inlineStr">
        <is>
          <t>沢297-14村上商会</t>
        </is>
      </c>
      <c r="AX27" s="7" t="inlineStr">
        <is>
          <t>Cut-resistant gloves</t>
        </is>
      </c>
      <c r="AY27" s="7" t="inlineStr">
        <is>
          <t>steel wire</t>
        </is>
      </c>
      <c r="AZ27" s="7" t="n">
        <v>16.0</v>
      </c>
      <c r="BA27" s="7" t="inlineStr">
        <is>
          <t xml:space="preserve"> 滋賀県甲賀市甲南町野尻558</t>
        </is>
      </c>
      <c r="BB27" s="7"/>
      <c r="BC27" s="7"/>
      <c r="BD27" s="7"/>
    </row>
    <row r="28" customHeight="true" ht="33.0">
      <c r="A28" s="13" t="inlineStr">
        <is>
          <t>DIDA</t>
        </is>
      </c>
      <c r="B28" s="14"/>
      <c r="C28" s="15" t="inlineStr">
        <is>
          <t>365027470986</t>
        </is>
      </c>
      <c r="D28" s="15" t="inlineStr">
        <is>
          <t>365027470986</t>
        </is>
      </c>
      <c r="E28" s="7" t="n">
        <v>1.0</v>
      </c>
      <c r="F28" s="11" t="n">
        <v>0.16</v>
      </c>
      <c r="G28" s="7" t="inlineStr">
        <is>
          <t>KGM</t>
        </is>
      </c>
      <c r="H28" s="16" t="n">
        <f>UPPER(AX28)</f>
        <v>0.0</v>
      </c>
      <c r="I28" s="16" t="n">
        <f>UPPER(AY28)</f>
        <v>0.0</v>
      </c>
      <c r="J28" s="16" t="inlineStr">
        <is>
          <t>加賀田 宙佑</t>
        </is>
      </c>
      <c r="K28" s="25" t="n">
        <f>UPPER(J28)</f>
        <v>0.0</v>
      </c>
      <c r="L28" s="25"/>
      <c r="M28" s="26" t="n">
        <f>AU28&amp;AV28&amp;AW28&amp;BD28</f>
        <v>0.0</v>
      </c>
      <c r="N28" s="27" t="n">
        <f>UPPER(M28)</f>
        <v>0.0</v>
      </c>
      <c r="O28" s="28" t="n">
        <f>MID(N28,MIN(IFERROR(FIND({0,1,2,3,4,5,6,7,8,9},N28),LEN(N28)+1)),LEN(N28))</f>
        <v>0.0</v>
      </c>
      <c r="P28" s="28" t="n">
        <f>L28&amp;" "&amp;O28</f>
        <v>0.0</v>
      </c>
      <c r="Q28" s="27" t="inlineStr">
        <is>
          <t>212-0007</t>
        </is>
      </c>
      <c r="R28" s="30" t="inlineStr">
        <is>
          <t>08077415894</t>
        </is>
      </c>
      <c r="S28" s="31" t="inlineStr">
        <is>
          <t xml:space="preserve">HUI ZHOU JING SHAN GONG MAO YOU XIAN GONG SI </t>
        </is>
      </c>
      <c r="T28" s="31" t="inlineStr">
        <is>
          <t>GUANG DONG SHENG HUI ZHOU SHI HUI CHENG QU QIAO DONG JIE DAO HUI ZHOU SHI HUI ZHOU DA DAO 108 HAO</t>
        </is>
      </c>
      <c r="U28" s="32" t="inlineStr">
        <is>
          <t>C&amp;F</t>
        </is>
      </c>
      <c r="V28" s="32" t="inlineStr">
        <is>
          <t>JPY</t>
        </is>
      </c>
      <c r="W28" s="33"/>
      <c r="X28" s="34" t="n">
        <f>INT(AZ28)</f>
        <v>0.0</v>
      </c>
      <c r="Y28" s="32" t="inlineStr">
        <is>
          <t>A</t>
        </is>
      </c>
      <c r="Z28" s="32" t="inlineStr">
        <is>
          <t>JPY</t>
        </is>
      </c>
      <c r="AA28" s="32"/>
      <c r="AB28" s="32" t="inlineStr">
        <is>
          <t>CN</t>
        </is>
      </c>
      <c r="AD28" s="27" t="inlineStr">
        <is>
          <t>加賀田 宙佑</t>
        </is>
      </c>
      <c r="AE28" s="7" t="n">
        <f>AU28&amp;AV28&amp;AW28&amp;BD28</f>
        <v>0.0</v>
      </c>
      <c r="AF28" s="7" t="inlineStr">
        <is>
          <t>08077415894</t>
        </is>
      </c>
      <c r="AG28" s="7" t="inlineStr">
        <is>
          <t>212-0007</t>
        </is>
      </c>
      <c r="AH28" s="7"/>
      <c r="AI28" s="7" t="n">
        <f>BB28&amp;BC28&amp;BA28</f>
        <v>0.0</v>
      </c>
      <c r="AJ28" s="7" t="inlineStr">
        <is>
          <t xml:space="preserve"> </t>
        </is>
      </c>
      <c r="AK28" s="39" t="inlineStr">
        <is>
          <t>C</t>
        </is>
      </c>
      <c r="AL28" s="39" t="n">
        <v>1.0</v>
      </c>
      <c r="AM28" s="27" t="n">
        <f>IF(OR(ISNUMBER(SEARCH("amazon",AH28)),ISNUMBER(SEARCH("亚马逊",AH28))),"PUS001",IF(OR(ISNUMBER(SEARCH("rakuten",AH28)),ISNUMBER(SEARCH("楽天",AH28)),ISNUMBER(SEARCH("乐天",AH28))),"PJP001",IF(ISNUMBER(SEARCH("tik tok shop",AH28)),"PSG003",IF(ISNUMBER(SEARCH("temu",AH28)),"PSG001",IF(ISNUMBER(SEARCH("shein",AH28)),"JSG001",IF(OR(ISNUMBER(SEARCH("yahoo",AH28)),ISNUMBER(SEARCH("雅虎",AH28)),ISNUMBER(SEARCH("雅",AH28)),LEFT(UPPER(AH28),1)="Y"),"PJP005",IF(ISNUMBER(SEARCH("DDA JAPAN",AH28)),CHOOSE(RANDBETWEEN(1,3),"temu","PSG003","PSG001"),"JCNZZZ")))))))</f>
        <v>0.0</v>
      </c>
      <c r="AN28" s="7" t="n">
        <f>IF(ISNUMBER(SEARCH("JCNZZZ",AM28)),CHOOSE(RANDBETWEEN(1,4),"TAOBAO0","JinDdong","PingDduoDduo","ALIBABA"),"")</f>
        <v>0.0</v>
      </c>
      <c r="AU28" s="7"/>
      <c r="AV28" s="7"/>
      <c r="AW28" s="7" t="inlineStr">
        <is>
          <t>神奈川県川崎市幸区河原町 河原町団地13号棟223番</t>
        </is>
      </c>
      <c r="AX28" s="7" t="inlineStr">
        <is>
          <t>plastic toys</t>
        </is>
      </c>
      <c r="AY28" s="7" t="inlineStr">
        <is>
          <t>ABS</t>
        </is>
      </c>
      <c r="AZ28" s="7" t="n">
        <v>12.8</v>
      </c>
      <c r="BA28" s="7" t="inlineStr">
        <is>
          <t xml:space="preserve"> </t>
        </is>
      </c>
      <c r="BB28" s="7"/>
      <c r="BC28" s="7"/>
      <c r="BD28" s="7"/>
    </row>
    <row r="29" customHeight="true" ht="33.0">
      <c r="A29" s="13" t="inlineStr">
        <is>
          <t>DIDA</t>
        </is>
      </c>
      <c r="B29" s="14"/>
      <c r="C29" s="15" t="inlineStr">
        <is>
          <t>365027493806</t>
        </is>
      </c>
      <c r="D29" s="15" t="inlineStr">
        <is>
          <t>365027493806</t>
        </is>
      </c>
      <c r="E29" s="7" t="n">
        <v>1.0</v>
      </c>
      <c r="F29" s="11" t="n">
        <v>0.23</v>
      </c>
      <c r="G29" s="7" t="inlineStr">
        <is>
          <t>KGM</t>
        </is>
      </c>
      <c r="H29" s="16" t="n">
        <f>UPPER(AX29)</f>
        <v>0.0</v>
      </c>
      <c r="I29" s="16" t="n">
        <f>UPPER(AY29)</f>
        <v>0.0</v>
      </c>
      <c r="J29" s="16" t="inlineStr">
        <is>
          <t>野村 京</t>
        </is>
      </c>
      <c r="K29" s="25" t="n">
        <f>UPPER(J29)</f>
        <v>0.0</v>
      </c>
      <c r="L29" s="25"/>
      <c r="M29" s="26" t="n">
        <f>AU29&amp;AV29&amp;AW29&amp;BD29</f>
        <v>0.0</v>
      </c>
      <c r="N29" s="27" t="n">
        <f>UPPER(M29)</f>
        <v>0.0</v>
      </c>
      <c r="O29" s="28" t="n">
        <f>MID(N29,MIN(IFERROR(FIND({0,1,2,3,4,5,6,7,8,9},N29),LEN(N29)+1)),LEN(N29))</f>
        <v>0.0</v>
      </c>
      <c r="P29" s="28" t="n">
        <f>L29&amp;" "&amp;O29</f>
        <v>0.0</v>
      </c>
      <c r="Q29" s="27" t="inlineStr">
        <is>
          <t>160-0023</t>
        </is>
      </c>
      <c r="R29" s="30" t="inlineStr">
        <is>
          <t>03-5937-0883</t>
        </is>
      </c>
      <c r="S29" s="31" t="inlineStr">
        <is>
          <t xml:space="preserve">HUI ZHOU JING SHAN GONG MAO YOU XIAN GONG SI </t>
        </is>
      </c>
      <c r="T29" s="31" t="inlineStr">
        <is>
          <t>GUANG DONG SHENG HUI ZHOU SHI HUI CHENG QU QIAO DONG JIE DAO HUI ZHOU SHI HUI ZHOU DA DAO 108 HAO</t>
        </is>
      </c>
      <c r="U29" s="32" t="inlineStr">
        <is>
          <t>C&amp;F</t>
        </is>
      </c>
      <c r="V29" s="32" t="inlineStr">
        <is>
          <t>JPY</t>
        </is>
      </c>
      <c r="W29" s="33"/>
      <c r="X29" s="34" t="n">
        <f>INT(AZ29)</f>
        <v>0.0</v>
      </c>
      <c r="Y29" s="32" t="inlineStr">
        <is>
          <t>A</t>
        </is>
      </c>
      <c r="Z29" s="32" t="inlineStr">
        <is>
          <t>JPY</t>
        </is>
      </c>
      <c r="AA29" s="32"/>
      <c r="AB29" s="32" t="inlineStr">
        <is>
          <t>CN</t>
        </is>
      </c>
      <c r="AD29" s="27" t="inlineStr">
        <is>
          <t>野村 京</t>
        </is>
      </c>
      <c r="AE29" s="7" t="n">
        <f>AU29&amp;AV29&amp;AW29&amp;BD29</f>
        <v>0.0</v>
      </c>
      <c r="AF29" s="7" t="inlineStr">
        <is>
          <t>03-5937-0883</t>
        </is>
      </c>
      <c r="AG29" s="7" t="inlineStr">
        <is>
          <t>160-0023</t>
        </is>
      </c>
      <c r="AH29" s="7"/>
      <c r="AI29" s="7" t="n">
        <f>BB29&amp;BC29&amp;BA29</f>
        <v>0.0</v>
      </c>
      <c r="AJ29" s="7" t="inlineStr">
        <is>
          <t xml:space="preserve"> </t>
        </is>
      </c>
      <c r="AK29" s="39" t="inlineStr">
        <is>
          <t>C</t>
        </is>
      </c>
      <c r="AL29" s="39" t="n">
        <v>1.0</v>
      </c>
      <c r="AM29" s="27" t="n">
        <f>IF(OR(ISNUMBER(SEARCH("amazon",AH29)),ISNUMBER(SEARCH("亚马逊",AH29))),"PUS001",IF(OR(ISNUMBER(SEARCH("rakuten",AH29)),ISNUMBER(SEARCH("楽天",AH29)),ISNUMBER(SEARCH("乐天",AH29))),"PJP001",IF(ISNUMBER(SEARCH("tik tok shop",AH29)),"PSG003",IF(ISNUMBER(SEARCH("temu",AH29)),"PSG001",IF(ISNUMBER(SEARCH("shein",AH29)),"JSG001",IF(OR(ISNUMBER(SEARCH("yahoo",AH29)),ISNUMBER(SEARCH("雅虎",AH29)),ISNUMBER(SEARCH("雅",AH29)),LEFT(UPPER(AH29),1)="Y"),"PJP005",IF(ISNUMBER(SEARCH("DDA JAPAN",AH29)),CHOOSE(RANDBETWEEN(1,3),"temu","PSG003","PSG001"),"JCNZZZ")))))))</f>
        <v>0.0</v>
      </c>
      <c r="AN29" s="7" t="n">
        <f>IF(ISNUMBER(SEARCH("JCNZZZ",AM29)),CHOOSE(RANDBETWEEN(1,4),"TAOBAO0","JinDdong","PingDduoDduo","ALIBABA"),"")</f>
        <v>0.0</v>
      </c>
      <c r="AU29" s="7"/>
      <c r="AV29" s="7"/>
      <c r="AW29" s="7" t="inlineStr">
        <is>
          <t>東京都新宿区西新宿7丁目1-12　 Crossoffice新宿705</t>
        </is>
      </c>
      <c r="AX29" s="7" t="inlineStr">
        <is>
          <t>phone case</t>
        </is>
      </c>
      <c r="AY29" s="7" t="inlineStr">
        <is>
          <t>ABS</t>
        </is>
      </c>
      <c r="AZ29" s="7" t="n">
        <v>10.2</v>
      </c>
      <c r="BA29" s="7" t="inlineStr">
        <is>
          <t xml:space="preserve"> </t>
        </is>
      </c>
      <c r="BB29" s="7"/>
      <c r="BC29" s="7"/>
      <c r="BD29" s="7"/>
    </row>
    <row r="30" customHeight="true" ht="33.0">
      <c r="A30" s="13" t="inlineStr">
        <is>
          <t>DIDA</t>
        </is>
      </c>
      <c r="B30" s="14"/>
      <c r="C30" s="15" t="inlineStr">
        <is>
          <t>365027492852</t>
        </is>
      </c>
      <c r="D30" s="15" t="inlineStr">
        <is>
          <t>365027492852</t>
        </is>
      </c>
      <c r="E30" s="7" t="n">
        <v>1.0</v>
      </c>
      <c r="F30" s="11" t="n">
        <v>0.42</v>
      </c>
      <c r="G30" s="7" t="inlineStr">
        <is>
          <t>KGM</t>
        </is>
      </c>
      <c r="H30" s="16" t="n">
        <f>UPPER(AX30)</f>
        <v>0.0</v>
      </c>
      <c r="I30" s="16" t="n">
        <f>UPPER(AY30)</f>
        <v>0.0</v>
      </c>
      <c r="J30" s="16" t="inlineStr">
        <is>
          <t>大久保 昌代</t>
        </is>
      </c>
      <c r="K30" s="25" t="n">
        <f>UPPER(J30)</f>
        <v>0.0</v>
      </c>
      <c r="L30" s="25"/>
      <c r="M30" s="26" t="n">
        <f>AU30&amp;AV30&amp;AW30&amp;BD30</f>
        <v>0.0</v>
      </c>
      <c r="N30" s="27" t="n">
        <f>UPPER(M30)</f>
        <v>0.0</v>
      </c>
      <c r="O30" s="28" t="n">
        <f>MID(N30,MIN(IFERROR(FIND({0,1,2,3,4,5,6,7,8,9},N30),LEN(N30)+1)),LEN(N30))</f>
        <v>0.0</v>
      </c>
      <c r="P30" s="28" t="n">
        <f>L30&amp;" "&amp;O30</f>
        <v>0.0</v>
      </c>
      <c r="Q30" s="27" t="inlineStr">
        <is>
          <t>183-0026</t>
        </is>
      </c>
      <c r="R30" s="30" t="inlineStr">
        <is>
          <t>042-313-8895</t>
        </is>
      </c>
      <c r="S30" s="31" t="inlineStr">
        <is>
          <t xml:space="preserve">HUI ZHOU JING SHAN GONG MAO YOU XIAN GONG SI </t>
        </is>
      </c>
      <c r="T30" s="31" t="inlineStr">
        <is>
          <t>GUANG DONG SHENG HUI ZHOU SHI HUI CHENG QU QIAO DONG JIE DAO HUI ZHOU SHI HUI ZHOU DA DAO 108 HAO</t>
        </is>
      </c>
      <c r="U30" s="32" t="inlineStr">
        <is>
          <t>C&amp;F</t>
        </is>
      </c>
      <c r="V30" s="32" t="inlineStr">
        <is>
          <t>JPY</t>
        </is>
      </c>
      <c r="W30" s="33"/>
      <c r="X30" s="34" t="n">
        <f>INT(AZ30)</f>
        <v>0.0</v>
      </c>
      <c r="Y30" s="32" t="inlineStr">
        <is>
          <t>A</t>
        </is>
      </c>
      <c r="Z30" s="32" t="inlineStr">
        <is>
          <t>JPY</t>
        </is>
      </c>
      <c r="AA30" s="32"/>
      <c r="AB30" s="32" t="inlineStr">
        <is>
          <t>CN</t>
        </is>
      </c>
      <c r="AD30" s="27" t="inlineStr">
        <is>
          <t>大久保 昌代</t>
        </is>
      </c>
      <c r="AE30" s="7" t="n">
        <f>AU30&amp;AV30&amp;AW30&amp;BD30</f>
        <v>0.0</v>
      </c>
      <c r="AF30" s="7" t="inlineStr">
        <is>
          <t>042-313-8895</t>
        </is>
      </c>
      <c r="AG30" s="7" t="inlineStr">
        <is>
          <t>183-0026</t>
        </is>
      </c>
      <c r="AH30" s="7" t="inlineStr">
        <is>
          <t>ラッキーストライク</t>
        </is>
      </c>
      <c r="AI30" s="7" t="n">
        <f>BB30&amp;BC30&amp;BA30</f>
        <v>0.0</v>
      </c>
      <c r="AJ30" s="7" t="inlineStr">
        <is>
          <t xml:space="preserve"> 05030911547</t>
        </is>
      </c>
      <c r="AK30" s="39" t="inlineStr">
        <is>
          <t>C</t>
        </is>
      </c>
      <c r="AL30" s="39" t="n">
        <v>1.0</v>
      </c>
      <c r="AM30" s="27" t="n">
        <f>IF(OR(ISNUMBER(SEARCH("amazon",AH30)),ISNUMBER(SEARCH("亚马逊",AH30))),"PUS001",IF(OR(ISNUMBER(SEARCH("rakuten",AH30)),ISNUMBER(SEARCH("楽天",AH30)),ISNUMBER(SEARCH("乐天",AH30))),"PJP001",IF(ISNUMBER(SEARCH("tik tok shop",AH30)),"PSG003",IF(ISNUMBER(SEARCH("temu",AH30)),"PSG001",IF(ISNUMBER(SEARCH("shein",AH30)),"JSG001",IF(OR(ISNUMBER(SEARCH("yahoo",AH30)),ISNUMBER(SEARCH("雅虎",AH30)),ISNUMBER(SEARCH("雅",AH30)),LEFT(UPPER(AH30),1)="Y"),"PJP005",IF(ISNUMBER(SEARCH("DDA JAPAN",AH30)),CHOOSE(RANDBETWEEN(1,3),"temu","PSG003","PSG001"),"JCNZZZ")))))))</f>
        <v>0.0</v>
      </c>
      <c r="AN30" s="7" t="n">
        <f>IF(ISNUMBER(SEARCH("JCNZZZ",AM30)),CHOOSE(RANDBETWEEN(1,4),"TAOBAO0","JinDdong","PingDduoDduo","ALIBABA"),"")</f>
        <v>0.0</v>
      </c>
      <c r="AU30" s="7" t="inlineStr">
        <is>
          <t>東京都</t>
        </is>
      </c>
      <c r="AV30" s="7" t="inlineStr">
        <is>
          <t>府中市</t>
        </is>
      </c>
      <c r="AW30" s="7" t="inlineStr">
        <is>
          <t>南町1-47-1シルキーパレス103</t>
        </is>
      </c>
      <c r="AX30" s="7" t="inlineStr">
        <is>
          <t>Toy</t>
        </is>
      </c>
      <c r="AY30" s="7" t="inlineStr">
        <is>
          <t>plastic</t>
        </is>
      </c>
      <c r="AZ30" s="7" t="n">
        <v>12.0</v>
      </c>
      <c r="BA30" s="7" t="inlineStr">
        <is>
          <t xml:space="preserve"> 東京都西多摩郡奥多摩町留浦１０１８</t>
        </is>
      </c>
      <c r="BB30" s="7"/>
      <c r="BC30" s="7"/>
      <c r="BD30" s="7"/>
    </row>
    <row r="31" customHeight="true" ht="33.0">
      <c r="A31" s="13" t="inlineStr">
        <is>
          <t>DIDA</t>
        </is>
      </c>
      <c r="B31" s="14"/>
      <c r="C31" s="15" t="inlineStr">
        <is>
          <t>365027493596</t>
        </is>
      </c>
      <c r="D31" s="15" t="inlineStr">
        <is>
          <t>365027493596</t>
        </is>
      </c>
      <c r="E31" s="7" t="n">
        <v>1.0</v>
      </c>
      <c r="F31" s="11" t="n">
        <v>0.33</v>
      </c>
      <c r="G31" s="7" t="inlineStr">
        <is>
          <t>KGM</t>
        </is>
      </c>
      <c r="H31" s="16" t="n">
        <f>UPPER(AX31)</f>
        <v>0.0</v>
      </c>
      <c r="I31" s="16" t="n">
        <f>UPPER(AY31)</f>
        <v>0.0</v>
      </c>
      <c r="J31" s="16" t="inlineStr">
        <is>
          <t>御園 幸江</t>
        </is>
      </c>
      <c r="K31" s="25" t="n">
        <f>UPPER(J31)</f>
        <v>0.0</v>
      </c>
      <c r="L31" s="25"/>
      <c r="M31" s="26" t="n">
        <f>AU31&amp;AV31&amp;AW31&amp;BD31</f>
        <v>0.0</v>
      </c>
      <c r="N31" s="27" t="n">
        <f>UPPER(M31)</f>
        <v>0.0</v>
      </c>
      <c r="O31" s="28" t="n">
        <f>MID(N31,MIN(IFERROR(FIND({0,1,2,3,4,5,6,7,8,9},N31),LEN(N31)+1)),LEN(N31))</f>
        <v>0.0</v>
      </c>
      <c r="P31" s="28" t="n">
        <f>L31&amp;" "&amp;O31</f>
        <v>0.0</v>
      </c>
      <c r="Q31" s="27" t="inlineStr">
        <is>
          <t>085-0805</t>
        </is>
      </c>
      <c r="R31" s="30" t="inlineStr">
        <is>
          <t>090-8374-1389</t>
        </is>
      </c>
      <c r="S31" s="31" t="inlineStr">
        <is>
          <t xml:space="preserve">HUI ZHOU JING SHAN GONG MAO YOU XIAN GONG SI </t>
        </is>
      </c>
      <c r="T31" s="31" t="inlineStr">
        <is>
          <t>GUANG DONG SHENG HUI ZHOU SHI HUI CHENG QU QIAO DONG JIE DAO HUI ZHOU SHI HUI ZHOU DA DAO 108 HAO</t>
        </is>
      </c>
      <c r="U31" s="32" t="inlineStr">
        <is>
          <t>C&amp;F</t>
        </is>
      </c>
      <c r="V31" s="32" t="inlineStr">
        <is>
          <t>JPY</t>
        </is>
      </c>
      <c r="W31" s="33"/>
      <c r="X31" s="34" t="n">
        <f>INT(AZ31)</f>
        <v>0.0</v>
      </c>
      <c r="Y31" s="32" t="inlineStr">
        <is>
          <t>A</t>
        </is>
      </c>
      <c r="Z31" s="32" t="inlineStr">
        <is>
          <t>JPY</t>
        </is>
      </c>
      <c r="AA31" s="32"/>
      <c r="AB31" s="32" t="inlineStr">
        <is>
          <t>CN</t>
        </is>
      </c>
      <c r="AD31" s="27" t="inlineStr">
        <is>
          <t>御園 幸江</t>
        </is>
      </c>
      <c r="AE31" s="7" t="n">
        <f>AU31&amp;AV31&amp;AW31&amp;BD31</f>
        <v>0.0</v>
      </c>
      <c r="AF31" s="7" t="inlineStr">
        <is>
          <t>090-8374-1389</t>
        </is>
      </c>
      <c r="AG31" s="7" t="inlineStr">
        <is>
          <t>085-0805</t>
        </is>
      </c>
      <c r="AH31" s="7" t="inlineStr">
        <is>
          <t/>
        </is>
      </c>
      <c r="AI31" s="7" t="n">
        <f>BB31&amp;BC31&amp;BA31</f>
        <v>0.0</v>
      </c>
      <c r="AJ31" s="7" t="inlineStr">
        <is>
          <t xml:space="preserve"> 08085450013</t>
        </is>
      </c>
      <c r="AK31" s="39" t="inlineStr">
        <is>
          <t>C</t>
        </is>
      </c>
      <c r="AL31" s="39" t="n">
        <v>1.0</v>
      </c>
      <c r="AM31" s="27" t="n">
        <f>IF(OR(ISNUMBER(SEARCH("amazon",AH31)),ISNUMBER(SEARCH("亚马逊",AH31))),"PUS001",IF(OR(ISNUMBER(SEARCH("rakuten",AH31)),ISNUMBER(SEARCH("楽天",AH31)),ISNUMBER(SEARCH("乐天",AH31))),"PJP001",IF(ISNUMBER(SEARCH("tik tok shop",AH31)),"PSG003",IF(ISNUMBER(SEARCH("temu",AH31)),"PSG001",IF(ISNUMBER(SEARCH("shein",AH31)),"JSG001",IF(OR(ISNUMBER(SEARCH("yahoo",AH31)),ISNUMBER(SEARCH("雅虎",AH31)),ISNUMBER(SEARCH("雅",AH31)),LEFT(UPPER(AH31),1)="Y"),"PJP005",IF(ISNUMBER(SEARCH("DDA JAPAN",AH31)),CHOOSE(RANDBETWEEN(1,3),"temu","PSG003","PSG001"),"JCNZZZ")))))))</f>
        <v>0.0</v>
      </c>
      <c r="AN31" s="7" t="n">
        <f>IF(ISNUMBER(SEARCH("JCNZZZ",AM31)),CHOOSE(RANDBETWEEN(1,4),"TAOBAO0","JinDdong","PingDduoDduo","ALIBABA"),"")</f>
        <v>0.0</v>
      </c>
      <c r="AU31" s="7" t="inlineStr">
        <is>
          <t>北海道</t>
        </is>
      </c>
      <c r="AV31" s="7" t="inlineStr">
        <is>
          <t>釧路市</t>
        </is>
      </c>
      <c r="AW31" s="7" t="inlineStr">
        <is>
          <t>桜ケ岡7-7-7</t>
        </is>
      </c>
      <c r="AX31" s="7" t="inlineStr">
        <is>
          <t>earphones</t>
        </is>
      </c>
      <c r="AY31" s="7" t="inlineStr">
        <is>
          <t>plastic</t>
        </is>
      </c>
      <c r="AZ31" s="7" t="n">
        <v>18.22</v>
      </c>
      <c r="BA31" s="7" t="inlineStr">
        <is>
          <t xml:space="preserve"> 中百舌鳥町6丁目１００１-5盲亀浮木の店</t>
        </is>
      </c>
      <c r="BB31" s="7" t="inlineStr">
        <is>
          <t>大阪府</t>
        </is>
      </c>
      <c r="BC31" s="7" t="inlineStr">
        <is>
          <t>堺市</t>
        </is>
      </c>
      <c r="BD31" s="7" t="inlineStr">
        <is>
          <t/>
        </is>
      </c>
    </row>
    <row r="32" customHeight="true" ht="33.0">
      <c r="A32" s="13" t="inlineStr">
        <is>
          <t>DIDA</t>
        </is>
      </c>
      <c r="B32" s="14"/>
      <c r="C32" s="15" t="inlineStr">
        <is>
          <t>365027469273</t>
        </is>
      </c>
      <c r="D32" s="15" t="inlineStr">
        <is>
          <t>365027469273</t>
        </is>
      </c>
      <c r="E32" s="7" t="n">
        <v>1.0</v>
      </c>
      <c r="F32" s="11" t="n">
        <v>0.37</v>
      </c>
      <c r="G32" s="7" t="inlineStr">
        <is>
          <t>KGM</t>
        </is>
      </c>
      <c r="H32" s="16" t="n">
        <f>UPPER(AX32)</f>
        <v>0.0</v>
      </c>
      <c r="I32" s="16" t="n">
        <f>UPPER(AY32)</f>
        <v>0.0</v>
      </c>
      <c r="J32" s="16" t="inlineStr">
        <is>
          <t>前田　裕香</t>
        </is>
      </c>
      <c r="K32" s="25" t="n">
        <f>UPPER(J32)</f>
        <v>0.0</v>
      </c>
      <c r="L32" s="25"/>
      <c r="M32" s="26" t="n">
        <f>AU32&amp;AV32&amp;AW32&amp;BD32</f>
        <v>0.0</v>
      </c>
      <c r="N32" s="27" t="n">
        <f>UPPER(M32)</f>
        <v>0.0</v>
      </c>
      <c r="O32" s="28" t="n">
        <f>MID(N32,MIN(IFERROR(FIND({0,1,2,3,4,5,6,7,8,9},N32),LEN(N32)+1)),LEN(N32))</f>
        <v>0.0</v>
      </c>
      <c r="P32" s="28" t="n">
        <f>L32&amp;" "&amp;O32</f>
        <v>0.0</v>
      </c>
      <c r="Q32" s="27" t="inlineStr">
        <is>
          <t>486-0833</t>
        </is>
      </c>
      <c r="R32" s="30" t="inlineStr">
        <is>
          <t>090-9129-8719</t>
        </is>
      </c>
      <c r="S32" s="31" t="inlineStr">
        <is>
          <t xml:space="preserve">HUI ZHOU JING SHAN GONG MAO YOU XIAN GONG SI </t>
        </is>
      </c>
      <c r="T32" s="31" t="inlineStr">
        <is>
          <t>GUANG DONG SHENG HUI ZHOU SHI HUI CHENG QU QIAO DONG JIE DAO HUI ZHOU SHI HUI ZHOU DA DAO 108 HAO</t>
        </is>
      </c>
      <c r="U32" s="32" t="inlineStr">
        <is>
          <t>C&amp;F</t>
        </is>
      </c>
      <c r="V32" s="32" t="inlineStr">
        <is>
          <t>JPY</t>
        </is>
      </c>
      <c r="W32" s="33"/>
      <c r="X32" s="34" t="n">
        <f>INT(AZ32)</f>
        <v>0.0</v>
      </c>
      <c r="Y32" s="32" t="inlineStr">
        <is>
          <t>A</t>
        </is>
      </c>
      <c r="Z32" s="32" t="inlineStr">
        <is>
          <t>JPY</t>
        </is>
      </c>
      <c r="AA32" s="32"/>
      <c r="AB32" s="32" t="inlineStr">
        <is>
          <t>CN</t>
        </is>
      </c>
      <c r="AD32" s="27" t="inlineStr">
        <is>
          <t>前田　裕香</t>
        </is>
      </c>
      <c r="AE32" s="7" t="n">
        <f>AU32&amp;AV32&amp;AW32&amp;BD32</f>
        <v>0.0</v>
      </c>
      <c r="AF32" s="7" t="inlineStr">
        <is>
          <t>090-9129-8719</t>
        </is>
      </c>
      <c r="AG32" s="7" t="inlineStr">
        <is>
          <t>486-0833</t>
        </is>
      </c>
      <c r="AH32" s="7"/>
      <c r="AI32" s="7" t="n">
        <f>BB32&amp;BC32&amp;BA32</f>
        <v>0.0</v>
      </c>
      <c r="AJ32" s="7" t="inlineStr">
        <is>
          <t xml:space="preserve"> </t>
        </is>
      </c>
      <c r="AK32" s="39" t="inlineStr">
        <is>
          <t>C</t>
        </is>
      </c>
      <c r="AL32" s="39" t="n">
        <v>1.0</v>
      </c>
      <c r="AM32" s="27" t="n">
        <f>IF(OR(ISNUMBER(SEARCH("amazon",AH32)),ISNUMBER(SEARCH("亚马逊",AH32))),"PUS001",IF(OR(ISNUMBER(SEARCH("rakuten",AH32)),ISNUMBER(SEARCH("楽天",AH32)),ISNUMBER(SEARCH("乐天",AH32))),"PJP001",IF(ISNUMBER(SEARCH("tik tok shop",AH32)),"PSG003",IF(ISNUMBER(SEARCH("temu",AH32)),"PSG001",IF(ISNUMBER(SEARCH("shein",AH32)),"JSG001",IF(OR(ISNUMBER(SEARCH("yahoo",AH32)),ISNUMBER(SEARCH("雅虎",AH32)),ISNUMBER(SEARCH("雅",AH32)),LEFT(UPPER(AH32),1)="Y"),"PJP005",IF(ISNUMBER(SEARCH("DDA JAPAN",AH32)),CHOOSE(RANDBETWEEN(1,3),"temu","PSG003","PSG001"),"JCNZZZ")))))))</f>
        <v>0.0</v>
      </c>
      <c r="AN32" s="7" t="n">
        <f>IF(ISNUMBER(SEARCH("JCNZZZ",AM32)),CHOOSE(RANDBETWEEN(1,4),"TAOBAO0","JinDdong","PingDduoDduo","ALIBABA"),"")</f>
        <v>0.0</v>
      </c>
      <c r="AU32" s="7"/>
      <c r="AV32" s="7"/>
      <c r="AW32" s="7" t="inlineStr">
        <is>
          <t>愛知県 春日井市 上条町3-24-2-9C</t>
        </is>
      </c>
      <c r="AX32" s="7" t="inlineStr">
        <is>
          <t>Neck Massager</t>
        </is>
      </c>
      <c r="AY32" s="7" t="inlineStr">
        <is>
          <t>ABS</t>
        </is>
      </c>
      <c r="AZ32" s="7" t="n">
        <v>10.0</v>
      </c>
      <c r="BA32" s="7" t="inlineStr">
        <is>
          <t xml:space="preserve"> </t>
        </is>
      </c>
      <c r="BB32" s="7"/>
      <c r="BC32" s="7"/>
      <c r="BD32" s="7"/>
    </row>
    <row r="33" customHeight="true" ht="33.0">
      <c r="A33" s="13" t="inlineStr">
        <is>
          <t>DIDA</t>
        </is>
      </c>
      <c r="B33" s="14"/>
      <c r="C33" s="15" t="inlineStr">
        <is>
          <t>365027472121</t>
        </is>
      </c>
      <c r="D33" s="15" t="inlineStr">
        <is>
          <t>365027472121</t>
        </is>
      </c>
      <c r="E33" s="7" t="n">
        <v>1.0</v>
      </c>
      <c r="F33" s="11" t="n">
        <v>0.16</v>
      </c>
      <c r="G33" s="7" t="inlineStr">
        <is>
          <t>KGM</t>
        </is>
      </c>
      <c r="H33" s="16" t="n">
        <f>UPPER(AX33)</f>
        <v>0.0</v>
      </c>
      <c r="I33" s="16" t="n">
        <f>UPPER(AY33)</f>
        <v>0.0</v>
      </c>
      <c r="J33" s="16" t="inlineStr">
        <is>
          <t>相馬 周</t>
        </is>
      </c>
      <c r="K33" s="25" t="n">
        <f>UPPER(J33)</f>
        <v>0.0</v>
      </c>
      <c r="L33" s="25"/>
      <c r="M33" s="26" t="n">
        <f>AU33&amp;AV33&amp;AW33&amp;BD33</f>
        <v>0.0</v>
      </c>
      <c r="N33" s="27" t="n">
        <f>UPPER(M33)</f>
        <v>0.0</v>
      </c>
      <c r="O33" s="28" t="n">
        <f>MID(N33,MIN(IFERROR(FIND({0,1,2,3,4,5,6,7,8,9},N33),LEN(N33)+1)),LEN(N33))</f>
        <v>0.0</v>
      </c>
      <c r="P33" s="28" t="n">
        <f>L33&amp;" "&amp;O33</f>
        <v>0.0</v>
      </c>
      <c r="Q33" s="27" t="inlineStr">
        <is>
          <t>030-0962</t>
        </is>
      </c>
      <c r="R33" s="30" t="inlineStr">
        <is>
          <t>07028250406</t>
        </is>
      </c>
      <c r="S33" s="31" t="inlineStr">
        <is>
          <t xml:space="preserve">HUI ZHOU JING SHAN GONG MAO YOU XIAN GONG SI </t>
        </is>
      </c>
      <c r="T33" s="31" t="inlineStr">
        <is>
          <t>GUANG DONG SHENG HUI ZHOU SHI HUI CHENG QU QIAO DONG JIE DAO HUI ZHOU SHI HUI ZHOU DA DAO 108 HAO</t>
        </is>
      </c>
      <c r="U33" s="32" t="inlineStr">
        <is>
          <t>C&amp;F</t>
        </is>
      </c>
      <c r="V33" s="32" t="inlineStr">
        <is>
          <t>JPY</t>
        </is>
      </c>
      <c r="W33" s="33"/>
      <c r="X33" s="34" t="n">
        <f>INT(AZ33)</f>
        <v>0.0</v>
      </c>
      <c r="Y33" s="32" t="inlineStr">
        <is>
          <t>A</t>
        </is>
      </c>
      <c r="Z33" s="32" t="inlineStr">
        <is>
          <t>JPY</t>
        </is>
      </c>
      <c r="AA33" s="32"/>
      <c r="AB33" s="32" t="inlineStr">
        <is>
          <t>CN</t>
        </is>
      </c>
      <c r="AD33" s="27" t="inlineStr">
        <is>
          <t>相馬 周</t>
        </is>
      </c>
      <c r="AE33" s="7" t="n">
        <f>AU33&amp;AV33&amp;AW33&amp;BD33</f>
        <v>0.0</v>
      </c>
      <c r="AF33" s="7" t="inlineStr">
        <is>
          <t>07028250406</t>
        </is>
      </c>
      <c r="AG33" s="7" t="inlineStr">
        <is>
          <t>030-0962</t>
        </is>
      </c>
      <c r="AH33" s="7"/>
      <c r="AI33" s="7" t="n">
        <f>BB33&amp;BC33&amp;BA33</f>
        <v>0.0</v>
      </c>
      <c r="AJ33" s="7" t="inlineStr">
        <is>
          <t xml:space="preserve"> </t>
        </is>
      </c>
      <c r="AK33" s="39" t="inlineStr">
        <is>
          <t>C</t>
        </is>
      </c>
      <c r="AL33" s="39" t="n">
        <v>1.0</v>
      </c>
      <c r="AM33" s="27" t="n">
        <f>IF(OR(ISNUMBER(SEARCH("amazon",AH33)),ISNUMBER(SEARCH("亚马逊",AH33))),"PUS001",IF(OR(ISNUMBER(SEARCH("rakuten",AH33)),ISNUMBER(SEARCH("楽天",AH33)),ISNUMBER(SEARCH("乐天",AH33))),"PJP001",IF(ISNUMBER(SEARCH("tik tok shop",AH33)),"PSG003",IF(ISNUMBER(SEARCH("temu",AH33)),"PSG001",IF(ISNUMBER(SEARCH("shein",AH33)),"JSG001",IF(OR(ISNUMBER(SEARCH("yahoo",AH33)),ISNUMBER(SEARCH("雅虎",AH33)),ISNUMBER(SEARCH("雅",AH33)),LEFT(UPPER(AH33),1)="Y"),"PJP005",IF(ISNUMBER(SEARCH("DDA JAPAN",AH33)),CHOOSE(RANDBETWEEN(1,3),"temu","PSG003","PSG001"),"JCNZZZ")))))))</f>
        <v>0.0</v>
      </c>
      <c r="AN33" s="7" t="n">
        <f>IF(ISNUMBER(SEARCH("JCNZZZ",AM33)),CHOOSE(RANDBETWEEN(1,4),"TAOBAO0","JinDdong","PingDduoDduo","ALIBABA"),"")</f>
        <v>0.0</v>
      </c>
      <c r="AU33" s="7"/>
      <c r="AV33" s="7"/>
      <c r="AW33" s="7" t="inlineStr">
        <is>
          <t>青森県青森市 茶屋町4-14</t>
        </is>
      </c>
      <c r="AX33" s="7" t="inlineStr">
        <is>
          <t>plastic toys</t>
        </is>
      </c>
      <c r="AY33" s="7" t="inlineStr">
        <is>
          <t>ABS</t>
        </is>
      </c>
      <c r="AZ33" s="7" t="n">
        <v>12.8</v>
      </c>
      <c r="BA33" s="7" t="inlineStr">
        <is>
          <t xml:space="preserve"> </t>
        </is>
      </c>
      <c r="BB33" s="7"/>
      <c r="BC33" s="7"/>
      <c r="BD33" s="7"/>
    </row>
    <row r="34" customHeight="true" ht="33.0">
      <c r="A34" s="13" t="inlineStr">
        <is>
          <t>DIDA</t>
        </is>
      </c>
      <c r="B34" s="14"/>
      <c r="C34" s="15" t="inlineStr">
        <is>
          <t>365027493644</t>
        </is>
      </c>
      <c r="D34" s="15" t="inlineStr">
        <is>
          <t>365027493644</t>
        </is>
      </c>
      <c r="E34" s="7" t="n">
        <v>1.0</v>
      </c>
      <c r="F34" s="11" t="n">
        <v>0.3</v>
      </c>
      <c r="G34" s="7" t="inlineStr">
        <is>
          <t>KGM</t>
        </is>
      </c>
      <c r="H34" s="16" t="n">
        <f>UPPER(AX34)</f>
        <v>0.0</v>
      </c>
      <c r="I34" s="16" t="n">
        <f>UPPER(AY34)</f>
        <v>0.0</v>
      </c>
      <c r="J34" s="16" t="inlineStr">
        <is>
          <t>福田 真弓 [フクダ マユミ]</t>
        </is>
      </c>
      <c r="K34" s="25" t="n">
        <f>UPPER(J34)</f>
        <v>0.0</v>
      </c>
      <c r="L34" s="25"/>
      <c r="M34" s="26" t="n">
        <f>AU34&amp;AV34&amp;AW34&amp;BD34</f>
        <v>0.0</v>
      </c>
      <c r="N34" s="27" t="n">
        <f>UPPER(M34)</f>
        <v>0.0</v>
      </c>
      <c r="O34" s="28" t="n">
        <f>MID(N34,MIN(IFERROR(FIND({0,1,2,3,4,5,6,7,8,9},N34),LEN(N34)+1)),LEN(N34))</f>
        <v>0.0</v>
      </c>
      <c r="P34" s="28" t="n">
        <f>L34&amp;" "&amp;O34</f>
        <v>0.0</v>
      </c>
      <c r="Q34" s="27" t="inlineStr">
        <is>
          <t>062-0921</t>
        </is>
      </c>
      <c r="R34" s="30" t="inlineStr">
        <is>
          <t>080-9830-6753</t>
        </is>
      </c>
      <c r="S34" s="31" t="inlineStr">
        <is>
          <t xml:space="preserve">HUI ZHOU JING SHAN GONG MAO YOU XIAN GONG SI </t>
        </is>
      </c>
      <c r="T34" s="31" t="inlineStr">
        <is>
          <t>GUANG DONG SHENG HUI ZHOU SHI HUI CHENG QU QIAO DONG JIE DAO HUI ZHOU SHI HUI ZHOU DA DAO 108 HAO</t>
        </is>
      </c>
      <c r="U34" s="32" t="inlineStr">
        <is>
          <t>C&amp;F</t>
        </is>
      </c>
      <c r="V34" s="32" t="inlineStr">
        <is>
          <t>JPY</t>
        </is>
      </c>
      <c r="W34" s="33"/>
      <c r="X34" s="34" t="n">
        <f>INT(AZ34)</f>
        <v>0.0</v>
      </c>
      <c r="Y34" s="32" t="inlineStr">
        <is>
          <t>A</t>
        </is>
      </c>
      <c r="Z34" s="32" t="inlineStr">
        <is>
          <t>JPY</t>
        </is>
      </c>
      <c r="AA34" s="32"/>
      <c r="AB34" s="32" t="inlineStr">
        <is>
          <t>CN</t>
        </is>
      </c>
      <c r="AD34" s="27" t="inlineStr">
        <is>
          <t>福田 真弓 [フクダ マユミ]</t>
        </is>
      </c>
      <c r="AE34" s="7" t="n">
        <f>AU34&amp;AV34&amp;AW34&amp;BD34</f>
        <v>0.0</v>
      </c>
      <c r="AF34" s="7" t="inlineStr">
        <is>
          <t>080-9830-6753</t>
        </is>
      </c>
      <c r="AG34" s="7" t="inlineStr">
        <is>
          <t>062-0921</t>
        </is>
      </c>
      <c r="AH34" s="7" t="inlineStr">
        <is>
          <t>楽天-Rumay-D</t>
        </is>
      </c>
      <c r="AI34" s="7" t="n">
        <f>BB34&amp;BC34&amp;BA34</f>
        <v>0.0</v>
      </c>
      <c r="AJ34" s="7" t="inlineStr">
        <is>
          <t xml:space="preserve"> 072-703-4761</t>
        </is>
      </c>
      <c r="AK34" s="39" t="inlineStr">
        <is>
          <t>C</t>
        </is>
      </c>
      <c r="AL34" s="39" t="n">
        <v>1.0</v>
      </c>
      <c r="AM34" s="27" t="n">
        <f>IF(OR(ISNUMBER(SEARCH("amazon",AH34)),ISNUMBER(SEARCH("亚马逊",AH34))),"PUS001",IF(OR(ISNUMBER(SEARCH("rakuten",AH34)),ISNUMBER(SEARCH("楽天",AH34)),ISNUMBER(SEARCH("乐天",AH34))),"PJP001",IF(ISNUMBER(SEARCH("tik tok shop",AH34)),"PSG003",IF(ISNUMBER(SEARCH("temu",AH34)),"PSG001",IF(ISNUMBER(SEARCH("shein",AH34)),"JSG001",IF(OR(ISNUMBER(SEARCH("yahoo",AH34)),ISNUMBER(SEARCH("雅虎",AH34)),ISNUMBER(SEARCH("雅",AH34)),LEFT(UPPER(AH34),1)="Y"),"PJP005",IF(ISNUMBER(SEARCH("DDA JAPAN",AH34)),CHOOSE(RANDBETWEEN(1,3),"temu","PSG003","PSG001"),"JCNZZZ")))))))</f>
        <v>0.0</v>
      </c>
      <c r="AN34" s="7" t="n">
        <f>IF(ISNUMBER(SEARCH("JCNZZZ",AM34)),CHOOSE(RANDBETWEEN(1,4),"TAOBAO0","JinDdong","PingDduoDduo","ALIBABA"),"")</f>
        <v>0.0</v>
      </c>
      <c r="AU34" s="7" t="inlineStr">
        <is>
          <t>北海道</t>
        </is>
      </c>
      <c r="AV34" s="7" t="inlineStr">
        <is>
          <t>札幌市豊平区</t>
        </is>
      </c>
      <c r="AW34" s="7" t="inlineStr">
        <is>
          <t>中の島一条4丁目2-16 Tiberina中の島401</t>
        </is>
      </c>
      <c r="AX34" s="7" t="inlineStr">
        <is>
          <t>Eye Protector</t>
        </is>
      </c>
      <c r="AY34" s="7" t="inlineStr">
        <is>
          <t>ABS</t>
        </is>
      </c>
      <c r="AZ34" s="7" t="n">
        <v>8.45</v>
      </c>
      <c r="BA34" s="7" t="inlineStr">
        <is>
          <t xml:space="preserve"> 中央区内本町2‐3‐8　ダイアパレスビル本町 1006ミズイシテクノロジー</t>
        </is>
      </c>
      <c r="BB34" s="7"/>
      <c r="BC34" s="7"/>
      <c r="BD34" s="7"/>
    </row>
    <row r="35" customHeight="true" ht="33.0">
      <c r="A35" s="13" t="inlineStr">
        <is>
          <t>DIDA</t>
        </is>
      </c>
      <c r="B35" s="14"/>
      <c r="C35" s="15" t="inlineStr">
        <is>
          <t>365027493493</t>
        </is>
      </c>
      <c r="D35" s="15" t="inlineStr">
        <is>
          <t>365027493493</t>
        </is>
      </c>
      <c r="E35" s="7" t="n">
        <v>1.0</v>
      </c>
      <c r="F35" s="11" t="n">
        <v>0.17</v>
      </c>
      <c r="G35" s="7" t="inlineStr">
        <is>
          <t>KGM</t>
        </is>
      </c>
      <c r="H35" s="16" t="n">
        <f>UPPER(AX35)</f>
        <v>0.0</v>
      </c>
      <c r="I35" s="16" t="n">
        <f>UPPER(AY35)</f>
        <v>0.0</v>
      </c>
      <c r="J35" s="16" t="inlineStr">
        <is>
          <t>松田 修一 [マツダ シュウイチ]</t>
        </is>
      </c>
      <c r="K35" s="25" t="n">
        <f>UPPER(J35)</f>
        <v>0.0</v>
      </c>
      <c r="L35" s="25"/>
      <c r="M35" s="26" t="n">
        <f>AU35&amp;AV35&amp;AW35&amp;BD35</f>
        <v>0.0</v>
      </c>
      <c r="N35" s="27" t="n">
        <f>UPPER(M35)</f>
        <v>0.0</v>
      </c>
      <c r="O35" s="28" t="n">
        <f>MID(N35,MIN(IFERROR(FIND({0,1,2,3,4,5,6,7,8,9},N35),LEN(N35)+1)),LEN(N35))</f>
        <v>0.0</v>
      </c>
      <c r="P35" s="28" t="n">
        <f>L35&amp;" "&amp;O35</f>
        <v>0.0</v>
      </c>
      <c r="Q35" s="27" t="inlineStr">
        <is>
          <t>061-1372</t>
        </is>
      </c>
      <c r="R35" s="30" t="inlineStr">
        <is>
          <t>090-5181-6144</t>
        </is>
      </c>
      <c r="S35" s="31" t="inlineStr">
        <is>
          <t xml:space="preserve">HUI ZHOU JING SHAN GONG MAO YOU XIAN GONG SI </t>
        </is>
      </c>
      <c r="T35" s="31" t="inlineStr">
        <is>
          <t>GUANG DONG SHENG HUI ZHOU SHI HUI CHENG QU QIAO DONG JIE DAO HUI ZHOU SHI HUI ZHOU DA DAO 108 HAO</t>
        </is>
      </c>
      <c r="U35" s="32" t="inlineStr">
        <is>
          <t>C&amp;F</t>
        </is>
      </c>
      <c r="V35" s="32" t="inlineStr">
        <is>
          <t>JPY</t>
        </is>
      </c>
      <c r="W35" s="33"/>
      <c r="X35" s="34" t="n">
        <f>INT(AZ35)</f>
        <v>0.0</v>
      </c>
      <c r="Y35" s="32" t="inlineStr">
        <is>
          <t>A</t>
        </is>
      </c>
      <c r="Z35" s="32" t="inlineStr">
        <is>
          <t>JPY</t>
        </is>
      </c>
      <c r="AA35" s="32"/>
      <c r="AB35" s="32" t="inlineStr">
        <is>
          <t>CN</t>
        </is>
      </c>
      <c r="AD35" s="27" t="inlineStr">
        <is>
          <t>松田 修一 [マツダ シュウイチ]</t>
        </is>
      </c>
      <c r="AE35" s="7" t="n">
        <f>AU35&amp;AV35&amp;AW35&amp;BD35</f>
        <v>0.0</v>
      </c>
      <c r="AF35" s="7" t="inlineStr">
        <is>
          <t>090-5181-6144</t>
        </is>
      </c>
      <c r="AG35" s="7" t="inlineStr">
        <is>
          <t>061-1372</t>
        </is>
      </c>
      <c r="AH35" s="7" t="inlineStr">
        <is>
          <t>楽天-eightyone-H</t>
        </is>
      </c>
      <c r="AI35" s="7" t="n">
        <f>BB35&amp;BC35&amp;BA35</f>
        <v>0.0</v>
      </c>
      <c r="AJ35" s="7" t="inlineStr">
        <is>
          <t xml:space="preserve"> 036-161-6083</t>
        </is>
      </c>
      <c r="AK35" s="39" t="inlineStr">
        <is>
          <t>C</t>
        </is>
      </c>
      <c r="AL35" s="39" t="n">
        <v>1.0</v>
      </c>
      <c r="AM35" s="27" t="n">
        <f>IF(OR(ISNUMBER(SEARCH("amazon",AH35)),ISNUMBER(SEARCH("亚马逊",AH35))),"PUS001",IF(OR(ISNUMBER(SEARCH("rakuten",AH35)),ISNUMBER(SEARCH("楽天",AH35)),ISNUMBER(SEARCH("乐天",AH35))),"PJP001",IF(ISNUMBER(SEARCH("tik tok shop",AH35)),"PSG003",IF(ISNUMBER(SEARCH("temu",AH35)),"PSG001",IF(ISNUMBER(SEARCH("shein",AH35)),"JSG001",IF(OR(ISNUMBER(SEARCH("yahoo",AH35)),ISNUMBER(SEARCH("雅虎",AH35)),ISNUMBER(SEARCH("雅",AH35)),LEFT(UPPER(AH35),1)="Y"),"PJP005",IF(ISNUMBER(SEARCH("DDA JAPAN",AH35)),CHOOSE(RANDBETWEEN(1,3),"temu","PSG003","PSG001"),"JCNZZZ")))))))</f>
        <v>0.0</v>
      </c>
      <c r="AN35" s="7" t="n">
        <f>IF(ISNUMBER(SEARCH("JCNZZZ",AM35)),CHOOSE(RANDBETWEEN(1,4),"TAOBAO0","JinDdong","PingDduoDduo","ALIBABA"),"")</f>
        <v>0.0</v>
      </c>
      <c r="AU35" s="7" t="inlineStr">
        <is>
          <t>北海道</t>
        </is>
      </c>
      <c r="AV35" s="7" t="inlineStr">
        <is>
          <t>恵庭市</t>
        </is>
      </c>
      <c r="AW35" s="7" t="inlineStr">
        <is>
          <t>恵み野南5-6-11</t>
        </is>
      </c>
      <c r="AX35" s="7" t="inlineStr">
        <is>
          <t>Water quality testing pen</t>
        </is>
      </c>
      <c r="AY35" s="7" t="inlineStr">
        <is>
          <t>ABS</t>
        </is>
      </c>
      <c r="AZ35" s="7" t="n">
        <v>8.1</v>
      </c>
      <c r="BA35" s="7" t="inlineStr">
        <is>
          <t xml:space="preserve"> 東京都品川区平塚1-13-1</t>
        </is>
      </c>
      <c r="BB35" s="7"/>
      <c r="BC35" s="7"/>
      <c r="BD35" s="7"/>
    </row>
    <row r="36" customHeight="true" ht="33.0">
      <c r="A36" s="13" t="inlineStr">
        <is>
          <t>DIDA</t>
        </is>
      </c>
      <c r="B36" s="14"/>
      <c r="C36" s="15" t="inlineStr">
        <is>
          <t>365027493331</t>
        </is>
      </c>
      <c r="D36" s="15" t="inlineStr">
        <is>
          <t>365027493331</t>
        </is>
      </c>
      <c r="E36" s="7" t="n">
        <v>1.0</v>
      </c>
      <c r="F36" s="11" t="n">
        <v>0.18</v>
      </c>
      <c r="G36" s="7" t="inlineStr">
        <is>
          <t>KGM</t>
        </is>
      </c>
      <c r="H36" s="16" t="n">
        <f>UPPER(AX36)</f>
        <v>0.0</v>
      </c>
      <c r="I36" s="16" t="n">
        <f>UPPER(AY36)</f>
        <v>0.0</v>
      </c>
      <c r="J36" s="16" t="inlineStr">
        <is>
          <t>伊丹 晋輔 [イタミ シンスケ]</t>
        </is>
      </c>
      <c r="K36" s="25" t="n">
        <f>UPPER(J36)</f>
        <v>0.0</v>
      </c>
      <c r="L36" s="25"/>
      <c r="M36" s="26" t="n">
        <f>AU36&amp;AV36&amp;AW36&amp;BD36</f>
        <v>0.0</v>
      </c>
      <c r="N36" s="27" t="n">
        <f>UPPER(M36)</f>
        <v>0.0</v>
      </c>
      <c r="O36" s="28" t="n">
        <f>MID(N36,MIN(IFERROR(FIND({0,1,2,3,4,5,6,7,8,9},N36),LEN(N36)+1)),LEN(N36))</f>
        <v>0.0</v>
      </c>
      <c r="P36" s="28" t="n">
        <f>L36&amp;" "&amp;O36</f>
        <v>0.0</v>
      </c>
      <c r="Q36" s="27" t="inlineStr">
        <is>
          <t>713-8121</t>
        </is>
      </c>
      <c r="R36" s="30" t="inlineStr">
        <is>
          <t>090-1350-8954</t>
        </is>
      </c>
      <c r="S36" s="31" t="inlineStr">
        <is>
          <t xml:space="preserve">HUI ZHOU JING SHAN GONG MAO YOU XIAN GONG SI </t>
        </is>
      </c>
      <c r="T36" s="31" t="inlineStr">
        <is>
          <t>GUANG DONG SHENG HUI ZHOU SHI HUI CHENG QU QIAO DONG JIE DAO HUI ZHOU SHI HUI ZHOU DA DAO 108 HAO</t>
        </is>
      </c>
      <c r="U36" s="32" t="inlineStr">
        <is>
          <t>C&amp;F</t>
        </is>
      </c>
      <c r="V36" s="32" t="inlineStr">
        <is>
          <t>JPY</t>
        </is>
      </c>
      <c r="W36" s="33"/>
      <c r="X36" s="34" t="n">
        <f>INT(AZ36)</f>
        <v>0.0</v>
      </c>
      <c r="Y36" s="32" t="inlineStr">
        <is>
          <t>A</t>
        </is>
      </c>
      <c r="Z36" s="32" t="inlineStr">
        <is>
          <t>JPY</t>
        </is>
      </c>
      <c r="AA36" s="32"/>
      <c r="AB36" s="32" t="inlineStr">
        <is>
          <t>CN</t>
        </is>
      </c>
      <c r="AD36" s="27" t="inlineStr">
        <is>
          <t>伊丹 晋輔 [イタミ シンスケ]</t>
        </is>
      </c>
      <c r="AE36" s="7" t="n">
        <f>AU36&amp;AV36&amp;AW36&amp;BD36</f>
        <v>0.0</v>
      </c>
      <c r="AF36" s="7" t="inlineStr">
        <is>
          <t>090-1350-8954</t>
        </is>
      </c>
      <c r="AG36" s="7" t="inlineStr">
        <is>
          <t>713-8121</t>
        </is>
      </c>
      <c r="AH36" s="7" t="inlineStr">
        <is>
          <t>楽天-クリアアフュー</t>
        </is>
      </c>
      <c r="AI36" s="7" t="n">
        <f>BB36&amp;BC36&amp;BA36</f>
        <v>0.0</v>
      </c>
      <c r="AJ36" s="7" t="inlineStr">
        <is>
          <t xml:space="preserve"> 066-4508-345</t>
        </is>
      </c>
      <c r="AK36" s="39" t="inlineStr">
        <is>
          <t>C</t>
        </is>
      </c>
      <c r="AL36" s="39" t="n">
        <v>1.0</v>
      </c>
      <c r="AM36" s="27" t="n">
        <f>IF(OR(ISNUMBER(SEARCH("amazon",AH36)),ISNUMBER(SEARCH("亚马逊",AH36))),"PUS001",IF(OR(ISNUMBER(SEARCH("rakuten",AH36)),ISNUMBER(SEARCH("楽天",AH36)),ISNUMBER(SEARCH("乐天",AH36))),"PJP001",IF(ISNUMBER(SEARCH("tik tok shop",AH36)),"PSG003",IF(ISNUMBER(SEARCH("temu",AH36)),"PSG001",IF(ISNUMBER(SEARCH("shein",AH36)),"JSG001",IF(OR(ISNUMBER(SEARCH("yahoo",AH36)),ISNUMBER(SEARCH("雅虎",AH36)),ISNUMBER(SEARCH("雅",AH36)),LEFT(UPPER(AH36),1)="Y"),"PJP005",IF(ISNUMBER(SEARCH("DDA JAPAN",AH36)),CHOOSE(RANDBETWEEN(1,3),"temu","PSG003","PSG001"),"JCNZZZ")))))))</f>
        <v>0.0</v>
      </c>
      <c r="AN36" s="7" t="n">
        <f>IF(ISNUMBER(SEARCH("JCNZZZ",AM36)),CHOOSE(RANDBETWEEN(1,4),"TAOBAO0","JinDdong","PingDduoDduo","ALIBABA"),"")</f>
        <v>0.0</v>
      </c>
      <c r="AU36" s="7" t="inlineStr">
        <is>
          <t>岡山県</t>
        </is>
      </c>
      <c r="AV36" s="7" t="inlineStr">
        <is>
          <t>倉敷市</t>
        </is>
      </c>
      <c r="AW36" s="7" t="inlineStr">
        <is>
          <t>玉島阿賀崎2-1-1玉島中央病院</t>
        </is>
      </c>
      <c r="AX36" s="7" t="inlineStr">
        <is>
          <t>baseball</t>
        </is>
      </c>
      <c r="AY36" s="7" t="inlineStr">
        <is>
          <t>PU</t>
        </is>
      </c>
      <c r="AZ36" s="7" t="n">
        <v>5.0</v>
      </c>
      <c r="BA36" s="7" t="inlineStr">
        <is>
          <t xml:space="preserve"> 大阪府大阪市浪速区日本橋５－１３－９－２０２</t>
        </is>
      </c>
      <c r="BB36" s="7"/>
      <c r="BC36" s="7"/>
      <c r="BD36" s="7"/>
    </row>
    <row r="37" customHeight="true" ht="33.0">
      <c r="A37" s="13" t="inlineStr">
        <is>
          <t>DIDA</t>
        </is>
      </c>
      <c r="B37" s="14"/>
      <c r="C37" s="15" t="inlineStr">
        <is>
          <t>365027469752</t>
        </is>
      </c>
      <c r="D37" s="15" t="inlineStr">
        <is>
          <t>365027469752</t>
        </is>
      </c>
      <c r="E37" s="7" t="n">
        <v>1.0</v>
      </c>
      <c r="F37" s="11" t="n">
        <v>17.35</v>
      </c>
      <c r="G37" s="7" t="inlineStr">
        <is>
          <t>KGM</t>
        </is>
      </c>
      <c r="H37" s="16" t="n">
        <f>UPPER(AX37)</f>
        <v>0.0</v>
      </c>
      <c r="I37" s="16" t="n">
        <f>UPPER(AY37)</f>
        <v>0.0</v>
      </c>
      <c r="J37" s="16" t="inlineStr">
        <is>
          <t>篠崎翔太</t>
        </is>
      </c>
      <c r="K37" s="25" t="n">
        <f>UPPER(J37)</f>
        <v>0.0</v>
      </c>
      <c r="L37" s="25"/>
      <c r="M37" s="26" t="n">
        <f>AU37&amp;AV37&amp;AW37&amp;BD37</f>
        <v>0.0</v>
      </c>
      <c r="N37" s="27" t="n">
        <f>UPPER(M37)</f>
        <v>0.0</v>
      </c>
      <c r="O37" s="28" t="n">
        <f>MID(N37,MIN(IFERROR(FIND({0,1,2,3,4,5,6,7,8,9},N37),LEN(N37)+1)),LEN(N37))</f>
        <v>0.0</v>
      </c>
      <c r="P37" s="28" t="n">
        <f>L37&amp;" "&amp;O37</f>
        <v>0.0</v>
      </c>
      <c r="Q37" s="27" t="inlineStr">
        <is>
          <t>060-0906</t>
        </is>
      </c>
      <c r="R37" s="30" t="inlineStr">
        <is>
          <t>080-4452-8071</t>
        </is>
      </c>
      <c r="S37" s="31" t="inlineStr">
        <is>
          <t xml:space="preserve">HUI ZHOU JING SHAN GONG MAO YOU XIAN GONG SI </t>
        </is>
      </c>
      <c r="T37" s="31" t="inlineStr">
        <is>
          <t>GUANG DONG SHENG HUI ZHOU SHI HUI CHENG QU QIAO DONG JIE DAO HUI ZHOU SHI HUI ZHOU DA DAO 108 HAO</t>
        </is>
      </c>
      <c r="U37" s="32" t="inlineStr">
        <is>
          <t>C&amp;F</t>
        </is>
      </c>
      <c r="V37" s="32" t="inlineStr">
        <is>
          <t>JPY</t>
        </is>
      </c>
      <c r="W37" s="33"/>
      <c r="X37" s="34" t="n">
        <f>INT(AZ37)</f>
        <v>0.0</v>
      </c>
      <c r="Y37" s="32" t="inlineStr">
        <is>
          <t>A</t>
        </is>
      </c>
      <c r="Z37" s="32" t="inlineStr">
        <is>
          <t>JPY</t>
        </is>
      </c>
      <c r="AA37" s="32"/>
      <c r="AB37" s="32" t="inlineStr">
        <is>
          <t>CN</t>
        </is>
      </c>
      <c r="AD37" s="27" t="inlineStr">
        <is>
          <t>篠崎翔太</t>
        </is>
      </c>
      <c r="AE37" s="7" t="n">
        <f>AU37&amp;AV37&amp;AW37&amp;BD37</f>
        <v>0.0</v>
      </c>
      <c r="AF37" s="7" t="inlineStr">
        <is>
          <t>080-4452-8071</t>
        </is>
      </c>
      <c r="AG37" s="7" t="inlineStr">
        <is>
          <t>060-0906</t>
        </is>
      </c>
      <c r="AH37" s="7"/>
      <c r="AI37" s="7" t="n">
        <f>BB37&amp;BC37&amp;BA37</f>
        <v>0.0</v>
      </c>
      <c r="AJ37" s="7" t="inlineStr">
        <is>
          <t xml:space="preserve"> </t>
        </is>
      </c>
      <c r="AK37" s="39" t="inlineStr">
        <is>
          <t>C</t>
        </is>
      </c>
      <c r="AL37" s="39" t="n">
        <v>1.0</v>
      </c>
      <c r="AM37" s="27" t="n">
        <f>IF(OR(ISNUMBER(SEARCH("amazon",AH37)),ISNUMBER(SEARCH("亚马逊",AH37))),"PUS001",IF(OR(ISNUMBER(SEARCH("rakuten",AH37)),ISNUMBER(SEARCH("楽天",AH37)),ISNUMBER(SEARCH("乐天",AH37))),"PJP001",IF(ISNUMBER(SEARCH("tik tok shop",AH37)),"PSG003",IF(ISNUMBER(SEARCH("temu",AH37)),"PSG001",IF(ISNUMBER(SEARCH("shein",AH37)),"JSG001",IF(OR(ISNUMBER(SEARCH("yahoo",AH37)),ISNUMBER(SEARCH("雅虎",AH37)),ISNUMBER(SEARCH("雅",AH37)),LEFT(UPPER(AH37),1)="Y"),"PJP005",IF(ISNUMBER(SEARCH("DDA JAPAN",AH37)),CHOOSE(RANDBETWEEN(1,3),"temu","PSG003","PSG001"),"JCNZZZ")))))))</f>
        <v>0.0</v>
      </c>
      <c r="AN37" s="7" t="n">
        <f>IF(ISNUMBER(SEARCH("JCNZZZ",AM37)),CHOOSE(RANDBETWEEN(1,4),"TAOBAO0","JinDdong","PingDduoDduo","ALIBABA"),"")</f>
        <v>0.0</v>
      </c>
      <c r="AU37" s="7"/>
      <c r="AV37" s="7"/>
      <c r="AW37" s="7" t="inlineStr">
        <is>
          <t>北海道札幌市東区北6条東6丁目1-2-312</t>
        </is>
      </c>
      <c r="AX37" s="7" t="inlineStr">
        <is>
          <t>plastic toys</t>
        </is>
      </c>
      <c r="AY37" s="7" t="inlineStr">
        <is>
          <t>ABS</t>
        </is>
      </c>
      <c r="AZ37" s="7" t="n">
        <v>13.5</v>
      </c>
      <c r="BA37" s="7" t="inlineStr">
        <is>
          <t xml:space="preserve"> </t>
        </is>
      </c>
      <c r="BB37" s="7"/>
      <c r="BC37" s="7"/>
      <c r="BD37" s="7"/>
    </row>
    <row r="38" customHeight="true" ht="33.0">
      <c r="A38" s="13" t="inlineStr">
        <is>
          <t>DIDA</t>
        </is>
      </c>
      <c r="B38" s="14"/>
      <c r="C38" s="15" t="inlineStr">
        <is>
          <t>365027493191</t>
        </is>
      </c>
      <c r="D38" s="15" t="inlineStr">
        <is>
          <t>365027493191</t>
        </is>
      </c>
      <c r="E38" s="7" t="n">
        <v>1.0</v>
      </c>
      <c r="F38" s="11" t="n">
        <v>1.09</v>
      </c>
      <c r="G38" s="7" t="inlineStr">
        <is>
          <t>KGM</t>
        </is>
      </c>
      <c r="H38" s="16" t="n">
        <f>UPPER(AX38)</f>
        <v>0.0</v>
      </c>
      <c r="I38" s="16" t="n">
        <f>UPPER(AY38)</f>
        <v>0.0</v>
      </c>
      <c r="J38" s="16" t="inlineStr">
        <is>
          <t>久家 瑠美</t>
        </is>
      </c>
      <c r="K38" s="25" t="n">
        <f>UPPER(J38)</f>
        <v>0.0</v>
      </c>
      <c r="L38" s="25"/>
      <c r="M38" s="26" t="n">
        <f>AU38&amp;AV38&amp;AW38&amp;BD38</f>
        <v>0.0</v>
      </c>
      <c r="N38" s="27" t="n">
        <f>UPPER(M38)</f>
        <v>0.0</v>
      </c>
      <c r="O38" s="28" t="n">
        <f>MID(N38,MIN(IFERROR(FIND({0,1,2,3,4,5,6,7,8,9},N38),LEN(N38)+1)),LEN(N38))</f>
        <v>0.0</v>
      </c>
      <c r="P38" s="28" t="n">
        <f>L38&amp;" "&amp;O38</f>
        <v>0.0</v>
      </c>
      <c r="Q38" s="27" t="inlineStr">
        <is>
          <t>574-0011</t>
        </is>
      </c>
      <c r="R38" s="30" t="inlineStr">
        <is>
          <t>080-2513-6734</t>
        </is>
      </c>
      <c r="S38" s="31" t="inlineStr">
        <is>
          <t xml:space="preserve">HUI ZHOU JING SHAN GONG MAO YOU XIAN GONG SI </t>
        </is>
      </c>
      <c r="T38" s="31" t="inlineStr">
        <is>
          <t>GUANG DONG SHENG HUI ZHOU SHI HUI CHENG QU QIAO DONG JIE DAO HUI ZHOU SHI HUI ZHOU DA DAO 108 HAO</t>
        </is>
      </c>
      <c r="U38" s="32" t="inlineStr">
        <is>
          <t>C&amp;F</t>
        </is>
      </c>
      <c r="V38" s="32" t="inlineStr">
        <is>
          <t>JPY</t>
        </is>
      </c>
      <c r="W38" s="33"/>
      <c r="X38" s="34" t="n">
        <f>INT(AZ38)</f>
        <v>0.0</v>
      </c>
      <c r="Y38" s="32" t="inlineStr">
        <is>
          <t>A</t>
        </is>
      </c>
      <c r="Z38" s="32" t="inlineStr">
        <is>
          <t>JPY</t>
        </is>
      </c>
      <c r="AA38" s="32"/>
      <c r="AB38" s="32" t="inlineStr">
        <is>
          <t>CN</t>
        </is>
      </c>
      <c r="AD38" s="27" t="inlineStr">
        <is>
          <t>久家 瑠美</t>
        </is>
      </c>
      <c r="AE38" s="7" t="n">
        <f>AU38&amp;AV38&amp;AW38&amp;BD38</f>
        <v>0.0</v>
      </c>
      <c r="AF38" s="7" t="inlineStr">
        <is>
          <t>080-2513-6734</t>
        </is>
      </c>
      <c r="AG38" s="7" t="inlineStr">
        <is>
          <t>574-0011</t>
        </is>
      </c>
      <c r="AH38" s="7" t="inlineStr">
        <is>
          <t>FINTRUE</t>
        </is>
      </c>
      <c r="AI38" s="7" t="n">
        <f>BB38&amp;BC38&amp;BA38</f>
        <v>0.0</v>
      </c>
      <c r="AJ38" s="7" t="inlineStr">
        <is>
          <t xml:space="preserve"> 05058401648</t>
        </is>
      </c>
      <c r="AK38" s="39" t="inlineStr">
        <is>
          <t>C</t>
        </is>
      </c>
      <c r="AL38" s="39" t="n">
        <v>1.0</v>
      </c>
      <c r="AM38" s="27" t="n">
        <f>IF(OR(ISNUMBER(SEARCH("amazon",AH38)),ISNUMBER(SEARCH("亚马逊",AH38))),"PUS001",IF(OR(ISNUMBER(SEARCH("rakuten",AH38)),ISNUMBER(SEARCH("楽天",AH38)),ISNUMBER(SEARCH("乐天",AH38))),"PJP001",IF(ISNUMBER(SEARCH("tik tok shop",AH38)),"PSG003",IF(ISNUMBER(SEARCH("temu",AH38)),"PSG001",IF(ISNUMBER(SEARCH("shein",AH38)),"JSG001",IF(OR(ISNUMBER(SEARCH("yahoo",AH38)),ISNUMBER(SEARCH("雅虎",AH38)),ISNUMBER(SEARCH("雅",AH38)),LEFT(UPPER(AH38),1)="Y"),"PJP005",IF(ISNUMBER(SEARCH("DDA JAPAN",AH38)),CHOOSE(RANDBETWEEN(1,3),"temu","PSG003","PSG001"),"JCNZZZ")))))))</f>
        <v>0.0</v>
      </c>
      <c r="AN38" s="7" t="n">
        <f>IF(ISNUMBER(SEARCH("JCNZZZ",AM38)),CHOOSE(RANDBETWEEN(1,4),"TAOBAO0","JinDdong","PingDduoDduo","ALIBABA"),"")</f>
        <v>0.0</v>
      </c>
      <c r="AU38" s="7" t="inlineStr">
        <is>
          <t>大阪府</t>
        </is>
      </c>
      <c r="AV38" s="7" t="inlineStr">
        <is>
          <t>大東市</t>
        </is>
      </c>
      <c r="AW38" s="7" t="inlineStr">
        <is>
          <t>北条7-9-7</t>
        </is>
      </c>
      <c r="AX38" s="7" t="inlineStr">
        <is>
          <t>wooden block</t>
        </is>
      </c>
      <c r="AY38" s="7" t="inlineStr">
        <is>
          <t>Wood</t>
        </is>
      </c>
      <c r="AZ38" s="7" t="n">
        <v>15.0</v>
      </c>
      <c r="BA38" s="7" t="inlineStr">
        <is>
          <t xml:space="preserve"> 大阪府大阪市中央区安堂寺町2-1-3-901</t>
        </is>
      </c>
      <c r="BB38" s="7"/>
      <c r="BC38" s="7"/>
      <c r="BD38" s="7"/>
    </row>
    <row r="39" customHeight="true" ht="33.0">
      <c r="A39" s="13" t="inlineStr">
        <is>
          <t>DIDA</t>
        </is>
      </c>
      <c r="B39" s="14"/>
      <c r="C39" s="15" t="inlineStr">
        <is>
          <t>365027493740</t>
        </is>
      </c>
      <c r="D39" s="15" t="inlineStr">
        <is>
          <t>365027493740</t>
        </is>
      </c>
      <c r="E39" s="7" t="n">
        <v>1.0</v>
      </c>
      <c r="F39" s="11" t="n">
        <v>0.29</v>
      </c>
      <c r="G39" s="7" t="inlineStr">
        <is>
          <t>KGM</t>
        </is>
      </c>
      <c r="H39" s="16" t="n">
        <f>UPPER(AX39)</f>
        <v>0.0</v>
      </c>
      <c r="I39" s="16" t="n">
        <f>UPPER(AY39)</f>
        <v>0.0</v>
      </c>
      <c r="J39" s="16" t="inlineStr">
        <is>
          <t>高橋 佐代 [タカハシ サヨ]</t>
        </is>
      </c>
      <c r="K39" s="25" t="n">
        <f>UPPER(J39)</f>
        <v>0.0</v>
      </c>
      <c r="L39" s="25"/>
      <c r="M39" s="26" t="n">
        <f>AU39&amp;AV39&amp;AW39&amp;BD39</f>
        <v>0.0</v>
      </c>
      <c r="N39" s="27" t="n">
        <f>UPPER(M39)</f>
        <v>0.0</v>
      </c>
      <c r="O39" s="28" t="n">
        <f>MID(N39,MIN(IFERROR(FIND({0,1,2,3,4,5,6,7,8,9},N39),LEN(N39)+1)),LEN(N39))</f>
        <v>0.0</v>
      </c>
      <c r="P39" s="28" t="n">
        <f>L39&amp;" "&amp;O39</f>
        <v>0.0</v>
      </c>
      <c r="Q39" s="27" t="inlineStr">
        <is>
          <t>364-0005</t>
        </is>
      </c>
      <c r="R39" s="30" t="inlineStr">
        <is>
          <t>090-4750-6967</t>
        </is>
      </c>
      <c r="S39" s="31" t="inlineStr">
        <is>
          <t xml:space="preserve">HUI ZHOU JING SHAN GONG MAO YOU XIAN GONG SI </t>
        </is>
      </c>
      <c r="T39" s="31" t="inlineStr">
        <is>
          <t>GUANG DONG SHENG HUI ZHOU SHI HUI CHENG QU QIAO DONG JIE DAO HUI ZHOU SHI HUI ZHOU DA DAO 108 HAO</t>
        </is>
      </c>
      <c r="U39" s="32" t="inlineStr">
        <is>
          <t>C&amp;F</t>
        </is>
      </c>
      <c r="V39" s="32" t="inlineStr">
        <is>
          <t>JPY</t>
        </is>
      </c>
      <c r="W39" s="33"/>
      <c r="X39" s="34" t="n">
        <f>INT(AZ39)</f>
        <v>0.0</v>
      </c>
      <c r="Y39" s="32" t="inlineStr">
        <is>
          <t>A</t>
        </is>
      </c>
      <c r="Z39" s="32" t="inlineStr">
        <is>
          <t>JPY</t>
        </is>
      </c>
      <c r="AA39" s="32"/>
      <c r="AB39" s="32" t="inlineStr">
        <is>
          <t>CN</t>
        </is>
      </c>
      <c r="AD39" s="27" t="inlineStr">
        <is>
          <t>高橋 佐代 [タカハシ サヨ]</t>
        </is>
      </c>
      <c r="AE39" s="7" t="n">
        <f>AU39&amp;AV39&amp;AW39&amp;BD39</f>
        <v>0.0</v>
      </c>
      <c r="AF39" s="7" t="inlineStr">
        <is>
          <t>090-4750-6967</t>
        </is>
      </c>
      <c r="AG39" s="7" t="inlineStr">
        <is>
          <t>364-0005</t>
        </is>
      </c>
      <c r="AH39" s="7" t="inlineStr">
        <is>
          <t>楽天-KAMCITY-L</t>
        </is>
      </c>
      <c r="AI39" s="7" t="n">
        <f>BB39&amp;BC39&amp;BA39</f>
        <v>0.0</v>
      </c>
      <c r="AJ39" s="7" t="inlineStr">
        <is>
          <t xml:space="preserve"> 070-1432-7896</t>
        </is>
      </c>
      <c r="AK39" s="39" t="inlineStr">
        <is>
          <t>C</t>
        </is>
      </c>
      <c r="AL39" s="39" t="n">
        <v>1.0</v>
      </c>
      <c r="AM39" s="27" t="n">
        <f>IF(OR(ISNUMBER(SEARCH("amazon",AH39)),ISNUMBER(SEARCH("亚马逊",AH39))),"PUS001",IF(OR(ISNUMBER(SEARCH("rakuten",AH39)),ISNUMBER(SEARCH("楽天",AH39)),ISNUMBER(SEARCH("乐天",AH39))),"PJP001",IF(ISNUMBER(SEARCH("tik tok shop",AH39)),"PSG003",IF(ISNUMBER(SEARCH("temu",AH39)),"PSG001",IF(ISNUMBER(SEARCH("shein",AH39)),"JSG001",IF(OR(ISNUMBER(SEARCH("yahoo",AH39)),ISNUMBER(SEARCH("雅虎",AH39)),ISNUMBER(SEARCH("雅",AH39)),LEFT(UPPER(AH39),1)="Y"),"PJP005",IF(ISNUMBER(SEARCH("DDA JAPAN",AH39)),CHOOSE(RANDBETWEEN(1,3),"temu","PSG003","PSG001"),"JCNZZZ")))))))</f>
        <v>0.0</v>
      </c>
      <c r="AN39" s="7" t="n">
        <f>IF(ISNUMBER(SEARCH("JCNZZZ",AM39)),CHOOSE(RANDBETWEEN(1,4),"TAOBAO0","JinDdong","PingDduoDduo","ALIBABA"),"")</f>
        <v>0.0</v>
      </c>
      <c r="AU39" s="7" t="inlineStr">
        <is>
          <t>埼玉県</t>
        </is>
      </c>
      <c r="AV39" s="7" t="inlineStr">
        <is>
          <t>北本市</t>
        </is>
      </c>
      <c r="AW39" s="7" t="inlineStr">
        <is>
          <t>本宿5-58</t>
        </is>
      </c>
      <c r="AX39" s="7" t="inlineStr">
        <is>
          <t>Outdoor Light</t>
        </is>
      </c>
      <c r="AY39" s="7" t="inlineStr">
        <is>
          <t>ABS</t>
        </is>
      </c>
      <c r="AZ39" s="7" t="n">
        <v>9.63</v>
      </c>
      <c r="BA39" s="7" t="inlineStr">
        <is>
          <t xml:space="preserve"> 内本町2‐3‐8</t>
        </is>
      </c>
      <c r="BB39" s="7"/>
      <c r="BC39" s="7"/>
      <c r="BD39" s="7"/>
    </row>
    <row r="40" customHeight="true" ht="33.0">
      <c r="A40" s="13" t="inlineStr">
        <is>
          <t>DIDA</t>
        </is>
      </c>
      <c r="B40" s="14"/>
      <c r="C40" s="15" t="inlineStr">
        <is>
          <t>365027472235</t>
        </is>
      </c>
      <c r="D40" s="15" t="inlineStr">
        <is>
          <t>365027472235</t>
        </is>
      </c>
      <c r="E40" s="7" t="n">
        <v>1.0</v>
      </c>
      <c r="F40" s="11" t="n">
        <v>0.17</v>
      </c>
      <c r="G40" s="7" t="inlineStr">
        <is>
          <t>KGM</t>
        </is>
      </c>
      <c r="H40" s="16" t="n">
        <f>UPPER(AX40)</f>
        <v>0.0</v>
      </c>
      <c r="I40" s="16" t="n">
        <f>UPPER(AY40)</f>
        <v>0.0</v>
      </c>
      <c r="J40" s="16" t="inlineStr">
        <is>
          <t>久木隆一郎</t>
        </is>
      </c>
      <c r="K40" s="25" t="n">
        <f>UPPER(J40)</f>
        <v>0.0</v>
      </c>
      <c r="L40" s="25"/>
      <c r="M40" s="26" t="n">
        <f>AU40&amp;AV40&amp;AW40&amp;BD40</f>
        <v>0.0</v>
      </c>
      <c r="N40" s="27" t="n">
        <f>UPPER(M40)</f>
        <v>0.0</v>
      </c>
      <c r="O40" s="28" t="n">
        <f>MID(N40,MIN(IFERROR(FIND({0,1,2,3,4,5,6,7,8,9},N40),LEN(N40)+1)),LEN(N40))</f>
        <v>0.0</v>
      </c>
      <c r="P40" s="28" t="n">
        <f>L40&amp;" "&amp;O40</f>
        <v>0.0</v>
      </c>
      <c r="Q40" s="27" t="inlineStr">
        <is>
          <t>683-0009</t>
        </is>
      </c>
      <c r="R40" s="30" t="inlineStr">
        <is>
          <t>080-2925-7078</t>
        </is>
      </c>
      <c r="S40" s="31" t="inlineStr">
        <is>
          <t xml:space="preserve">HUI ZHOU JING SHAN GONG MAO YOU XIAN GONG SI </t>
        </is>
      </c>
      <c r="T40" s="31" t="inlineStr">
        <is>
          <t>GUANG DONG SHENG HUI ZHOU SHI HUI CHENG QU QIAO DONG JIE DAO HUI ZHOU SHI HUI ZHOU DA DAO 108 HAO</t>
        </is>
      </c>
      <c r="U40" s="32" t="inlineStr">
        <is>
          <t>C&amp;F</t>
        </is>
      </c>
      <c r="V40" s="32" t="inlineStr">
        <is>
          <t>JPY</t>
        </is>
      </c>
      <c r="W40" s="33"/>
      <c r="X40" s="34" t="n">
        <f>INT(AZ40)</f>
        <v>0.0</v>
      </c>
      <c r="Y40" s="32" t="inlineStr">
        <is>
          <t>A</t>
        </is>
      </c>
      <c r="Z40" s="32" t="inlineStr">
        <is>
          <t>JPY</t>
        </is>
      </c>
      <c r="AA40" s="32"/>
      <c r="AB40" s="32" t="inlineStr">
        <is>
          <t>CN</t>
        </is>
      </c>
      <c r="AD40" s="27" t="inlineStr">
        <is>
          <t>久木隆一郎</t>
        </is>
      </c>
      <c r="AE40" s="7" t="n">
        <f>AU40&amp;AV40&amp;AW40&amp;BD40</f>
        <v>0.0</v>
      </c>
      <c r="AF40" s="7" t="inlineStr">
        <is>
          <t>080-2925-7078</t>
        </is>
      </c>
      <c r="AG40" s="7" t="inlineStr">
        <is>
          <t>683-0009</t>
        </is>
      </c>
      <c r="AH40" s="7"/>
      <c r="AI40" s="7" t="n">
        <f>BB40&amp;BC40&amp;BA40</f>
        <v>0.0</v>
      </c>
      <c r="AJ40" s="7" t="inlineStr">
        <is>
          <t xml:space="preserve"> </t>
        </is>
      </c>
      <c r="AK40" s="39" t="inlineStr">
        <is>
          <t>C</t>
        </is>
      </c>
      <c r="AL40" s="39" t="n">
        <v>1.0</v>
      </c>
      <c r="AM40" s="27" t="n">
        <f>IF(OR(ISNUMBER(SEARCH("amazon",AH40)),ISNUMBER(SEARCH("亚马逊",AH40))),"PUS001",IF(OR(ISNUMBER(SEARCH("rakuten",AH40)),ISNUMBER(SEARCH("楽天",AH40)),ISNUMBER(SEARCH("乐天",AH40))),"PJP001",IF(ISNUMBER(SEARCH("tik tok shop",AH40)),"PSG003",IF(ISNUMBER(SEARCH("temu",AH40)),"PSG001",IF(ISNUMBER(SEARCH("shein",AH40)),"JSG001",IF(OR(ISNUMBER(SEARCH("yahoo",AH40)),ISNUMBER(SEARCH("雅虎",AH40)),ISNUMBER(SEARCH("雅",AH40)),LEFT(UPPER(AH40),1)="Y"),"PJP005",IF(ISNUMBER(SEARCH("DDA JAPAN",AH40)),CHOOSE(RANDBETWEEN(1,3),"temu","PSG003","PSG001"),"JCNZZZ")))))))</f>
        <v>0.0</v>
      </c>
      <c r="AN40" s="7" t="n">
        <f>IF(ISNUMBER(SEARCH("JCNZZZ",AM40)),CHOOSE(RANDBETWEEN(1,4),"TAOBAO0","JinDdong","PingDduoDduo","ALIBABA"),"")</f>
        <v>0.0</v>
      </c>
      <c r="AU40" s="7"/>
      <c r="AV40" s="7"/>
      <c r="AW40" s="7" t="inlineStr">
        <is>
          <t>鳥取県米子市旗ヶ崎2丁目11-39アビタシオンドゥ601</t>
        </is>
      </c>
      <c r="AX40" s="7" t="inlineStr">
        <is>
          <t>plastic toys</t>
        </is>
      </c>
      <c r="AY40" s="7" t="inlineStr">
        <is>
          <t>ABS</t>
        </is>
      </c>
      <c r="AZ40" s="7" t="n">
        <v>12.8</v>
      </c>
      <c r="BA40" s="7" t="inlineStr">
        <is>
          <t xml:space="preserve"> </t>
        </is>
      </c>
      <c r="BB40" s="7"/>
      <c r="BC40" s="7"/>
      <c r="BD40" s="7"/>
    </row>
    <row r="41" customHeight="true" ht="33.0">
      <c r="A41" s="13" t="inlineStr">
        <is>
          <t>DIDA</t>
        </is>
      </c>
      <c r="B41" s="14"/>
      <c r="C41" s="15" t="inlineStr">
        <is>
          <t>365027493526</t>
        </is>
      </c>
      <c r="D41" s="15" t="inlineStr">
        <is>
          <t>365027493526</t>
        </is>
      </c>
      <c r="E41" s="7" t="n">
        <v>1.0</v>
      </c>
      <c r="F41" s="11" t="n">
        <v>0.49</v>
      </c>
      <c r="G41" s="7" t="inlineStr">
        <is>
          <t>KGM</t>
        </is>
      </c>
      <c r="H41" s="16" t="n">
        <f>UPPER(AX41)</f>
        <v>0.0</v>
      </c>
      <c r="I41" s="16" t="n">
        <f>UPPER(AY41)</f>
        <v>0.0</v>
      </c>
      <c r="J41" s="16" t="inlineStr">
        <is>
          <t>横井川 ノリ子</t>
        </is>
      </c>
      <c r="K41" s="25" t="n">
        <f>UPPER(J41)</f>
        <v>0.0</v>
      </c>
      <c r="L41" s="25"/>
      <c r="M41" s="26" t="n">
        <f>AU41&amp;AV41&amp;AW41&amp;BD41</f>
        <v>0.0</v>
      </c>
      <c r="N41" s="27" t="n">
        <f>UPPER(M41)</f>
        <v>0.0</v>
      </c>
      <c r="O41" s="28" t="n">
        <f>MID(N41,MIN(IFERROR(FIND({0,1,2,3,4,5,6,7,8,9},N41),LEN(N41)+1)),LEN(N41))</f>
        <v>0.0</v>
      </c>
      <c r="P41" s="28" t="n">
        <f>L41&amp;" "&amp;O41</f>
        <v>0.0</v>
      </c>
      <c r="Q41" s="27" t="inlineStr">
        <is>
          <t>321-0203</t>
        </is>
      </c>
      <c r="R41" s="30" t="inlineStr">
        <is>
          <t>080-1000-3225</t>
        </is>
      </c>
      <c r="S41" s="31" t="inlineStr">
        <is>
          <t xml:space="preserve">HUI ZHOU JING SHAN GONG MAO YOU XIAN GONG SI </t>
        </is>
      </c>
      <c r="T41" s="31" t="inlineStr">
        <is>
          <t>GUANG DONG SHENG HUI ZHOU SHI HUI CHENG QU QIAO DONG JIE DAO HUI ZHOU SHI HUI ZHOU DA DAO 108 HAO</t>
        </is>
      </c>
      <c r="U41" s="32" t="inlineStr">
        <is>
          <t>C&amp;F</t>
        </is>
      </c>
      <c r="V41" s="32" t="inlineStr">
        <is>
          <t>JPY</t>
        </is>
      </c>
      <c r="W41" s="33"/>
      <c r="X41" s="34" t="n">
        <f>INT(AZ41)</f>
        <v>0.0</v>
      </c>
      <c r="Y41" s="32" t="inlineStr">
        <is>
          <t>A</t>
        </is>
      </c>
      <c r="Z41" s="32" t="inlineStr">
        <is>
          <t>JPY</t>
        </is>
      </c>
      <c r="AA41" s="32"/>
      <c r="AB41" s="32" t="inlineStr">
        <is>
          <t>CN</t>
        </is>
      </c>
      <c r="AD41" s="27" t="inlineStr">
        <is>
          <t>横井川 ノリ子</t>
        </is>
      </c>
      <c r="AE41" s="7" t="n">
        <f>AU41&amp;AV41&amp;AW41&amp;BD41</f>
        <v>0.0</v>
      </c>
      <c r="AF41" s="7" t="inlineStr">
        <is>
          <t>080-1000-3225</t>
        </is>
      </c>
      <c r="AG41" s="7" t="inlineStr">
        <is>
          <t>321-0203</t>
        </is>
      </c>
      <c r="AH41" s="7" t="inlineStr">
        <is>
          <t/>
        </is>
      </c>
      <c r="AI41" s="7" t="n">
        <f>BB41&amp;BC41&amp;BA41</f>
        <v>0.0</v>
      </c>
      <c r="AJ41" s="7" t="inlineStr">
        <is>
          <t xml:space="preserve"> 08085450013</t>
        </is>
      </c>
      <c r="AK41" s="39" t="inlineStr">
        <is>
          <t>C</t>
        </is>
      </c>
      <c r="AL41" s="39" t="n">
        <v>1.0</v>
      </c>
      <c r="AM41" s="27" t="n">
        <f>IF(OR(ISNUMBER(SEARCH("amazon",AH41)),ISNUMBER(SEARCH("亚马逊",AH41))),"PUS001",IF(OR(ISNUMBER(SEARCH("rakuten",AH41)),ISNUMBER(SEARCH("楽天",AH41)),ISNUMBER(SEARCH("乐天",AH41))),"PJP001",IF(ISNUMBER(SEARCH("tik tok shop",AH41)),"PSG003",IF(ISNUMBER(SEARCH("temu",AH41)),"PSG001",IF(ISNUMBER(SEARCH("shein",AH41)),"JSG001",IF(OR(ISNUMBER(SEARCH("yahoo",AH41)),ISNUMBER(SEARCH("雅虎",AH41)),ISNUMBER(SEARCH("雅",AH41)),LEFT(UPPER(AH41),1)="Y"),"PJP005",IF(ISNUMBER(SEARCH("DDA JAPAN",AH41)),CHOOSE(RANDBETWEEN(1,3),"temu","PSG003","PSG001"),"JCNZZZ")))))))</f>
        <v>0.0</v>
      </c>
      <c r="AN41" s="7" t="n">
        <f>IF(ISNUMBER(SEARCH("JCNZZZ",AM41)),CHOOSE(RANDBETWEEN(1,4),"TAOBAO0","JinDdong","PingDduoDduo","ALIBABA"),"")</f>
        <v>0.0</v>
      </c>
      <c r="AU41" s="7" t="inlineStr">
        <is>
          <t>栃木県</t>
        </is>
      </c>
      <c r="AV41" s="7" t="inlineStr">
        <is>
          <t>下都賀郡壬生町</t>
        </is>
      </c>
      <c r="AW41" s="7" t="inlineStr">
        <is>
          <t>幸町1-5-3</t>
        </is>
      </c>
      <c r="AX41" s="7" t="inlineStr">
        <is>
          <t>ashtray</t>
        </is>
      </c>
      <c r="AY41" s="7" t="inlineStr">
        <is>
          <t>plastic</t>
        </is>
      </c>
      <c r="AZ41" s="7" t="n">
        <v>30.89</v>
      </c>
      <c r="BA41" s="7" t="inlineStr">
        <is>
          <t xml:space="preserve"> 中百舌鳥町6丁目１００１-5盲亀浮木の店</t>
        </is>
      </c>
      <c r="BB41" s="7" t="inlineStr">
        <is>
          <t>大阪府</t>
        </is>
      </c>
      <c r="BC41" s="7" t="inlineStr">
        <is>
          <t>堺市</t>
        </is>
      </c>
      <c r="BD41" s="7" t="inlineStr">
        <is>
          <t/>
        </is>
      </c>
    </row>
    <row r="42" customHeight="true" ht="33.0">
      <c r="A42" s="13" t="inlineStr">
        <is>
          <t>DIDA</t>
        </is>
      </c>
      <c r="B42" s="14"/>
      <c r="C42" s="15" t="inlineStr">
        <is>
          <t>365027469284</t>
        </is>
      </c>
      <c r="D42" s="15" t="inlineStr">
        <is>
          <t>365027469284</t>
        </is>
      </c>
      <c r="E42" s="7" t="n">
        <v>1.0</v>
      </c>
      <c r="F42" s="11" t="n">
        <v>0.29</v>
      </c>
      <c r="G42" s="7" t="inlineStr">
        <is>
          <t>KGM</t>
        </is>
      </c>
      <c r="H42" s="16" t="n">
        <f>UPPER(AX42)</f>
        <v>0.0</v>
      </c>
      <c r="I42" s="16" t="n">
        <f>UPPER(AY42)</f>
        <v>0.0</v>
      </c>
      <c r="J42" s="16" t="inlineStr">
        <is>
          <t>田口真大朗</t>
        </is>
      </c>
      <c r="K42" s="25" t="n">
        <f>UPPER(J42)</f>
        <v>0.0</v>
      </c>
      <c r="L42" s="25"/>
      <c r="M42" s="26" t="n">
        <f>AU42&amp;AV42&amp;AW42&amp;BD42</f>
        <v>0.0</v>
      </c>
      <c r="N42" s="27" t="n">
        <f>UPPER(M42)</f>
        <v>0.0</v>
      </c>
      <c r="O42" s="28" t="n">
        <f>MID(N42,MIN(IFERROR(FIND({0,1,2,3,4,5,6,7,8,9},N42),LEN(N42)+1)),LEN(N42))</f>
        <v>0.0</v>
      </c>
      <c r="P42" s="28" t="n">
        <f>L42&amp;" "&amp;O42</f>
        <v>0.0</v>
      </c>
      <c r="Q42" s="27" t="inlineStr">
        <is>
          <t>542-0072</t>
        </is>
      </c>
      <c r="R42" s="30" t="inlineStr">
        <is>
          <t>090-3165-1028</t>
        </is>
      </c>
      <c r="S42" s="31" t="inlineStr">
        <is>
          <t xml:space="preserve">HUI ZHOU JING SHAN GONG MAO YOU XIAN GONG SI </t>
        </is>
      </c>
      <c r="T42" s="31" t="inlineStr">
        <is>
          <t>GUANG DONG SHENG HUI ZHOU SHI HUI CHENG QU QIAO DONG JIE DAO HUI ZHOU SHI HUI ZHOU DA DAO 108 HAO</t>
        </is>
      </c>
      <c r="U42" s="32" t="inlineStr">
        <is>
          <t>C&amp;F</t>
        </is>
      </c>
      <c r="V42" s="32" t="inlineStr">
        <is>
          <t>JPY</t>
        </is>
      </c>
      <c r="W42" s="33"/>
      <c r="X42" s="34" t="n">
        <f>INT(AZ42)</f>
        <v>0.0</v>
      </c>
      <c r="Y42" s="32" t="inlineStr">
        <is>
          <t>A</t>
        </is>
      </c>
      <c r="Z42" s="32" t="inlineStr">
        <is>
          <t>JPY</t>
        </is>
      </c>
      <c r="AA42" s="32"/>
      <c r="AB42" s="32" t="inlineStr">
        <is>
          <t>CN</t>
        </is>
      </c>
      <c r="AD42" s="27" t="inlineStr">
        <is>
          <t>田口真大朗</t>
        </is>
      </c>
      <c r="AE42" s="7" t="n">
        <f>AU42&amp;AV42&amp;AW42&amp;BD42</f>
        <v>0.0</v>
      </c>
      <c r="AF42" s="7" t="inlineStr">
        <is>
          <t>090-3165-1028</t>
        </is>
      </c>
      <c r="AG42" s="7" t="inlineStr">
        <is>
          <t>542-0072</t>
        </is>
      </c>
      <c r="AH42" s="7"/>
      <c r="AI42" s="7" t="n">
        <f>BB42&amp;BC42&amp;BA42</f>
        <v>0.0</v>
      </c>
      <c r="AJ42" s="7" t="inlineStr">
        <is>
          <t xml:space="preserve"> </t>
        </is>
      </c>
      <c r="AK42" s="39" t="inlineStr">
        <is>
          <t>C</t>
        </is>
      </c>
      <c r="AL42" s="39" t="n">
        <v>1.0</v>
      </c>
      <c r="AM42" s="27" t="n">
        <f>IF(OR(ISNUMBER(SEARCH("amazon",AH42)),ISNUMBER(SEARCH("亚马逊",AH42))),"PUS001",IF(OR(ISNUMBER(SEARCH("rakuten",AH42)),ISNUMBER(SEARCH("楽天",AH42)),ISNUMBER(SEARCH("乐天",AH42))),"PJP001",IF(ISNUMBER(SEARCH("tik tok shop",AH42)),"PSG003",IF(ISNUMBER(SEARCH("temu",AH42)),"PSG001",IF(ISNUMBER(SEARCH("shein",AH42)),"JSG001",IF(OR(ISNUMBER(SEARCH("yahoo",AH42)),ISNUMBER(SEARCH("雅虎",AH42)),ISNUMBER(SEARCH("雅",AH42)),LEFT(UPPER(AH42),1)="Y"),"PJP005",IF(ISNUMBER(SEARCH("DDA JAPAN",AH42)),CHOOSE(RANDBETWEEN(1,3),"temu","PSG003","PSG001"),"JCNZZZ")))))))</f>
        <v>0.0</v>
      </c>
      <c r="AN42" s="7" t="n">
        <f>IF(ISNUMBER(SEARCH("JCNZZZ",AM42)),CHOOSE(RANDBETWEEN(1,4),"TAOBAO0","JinDdong","PingDduoDduo","ALIBABA"),"")</f>
        <v>0.0</v>
      </c>
      <c r="AU42" s="7"/>
      <c r="AV42" s="7"/>
      <c r="AW42" s="7" t="inlineStr">
        <is>
          <t>大阪府大阪市中央区高津3-2-34 ホワイトハイツ601</t>
        </is>
      </c>
      <c r="AX42" s="7" t="inlineStr">
        <is>
          <t>humidifier</t>
        </is>
      </c>
      <c r="AY42" s="7" t="inlineStr">
        <is>
          <t>ABS</t>
        </is>
      </c>
      <c r="AZ42" s="7" t="n">
        <v>10.0</v>
      </c>
      <c r="BA42" s="7" t="inlineStr">
        <is>
          <t xml:space="preserve"> </t>
        </is>
      </c>
      <c r="BB42" s="7"/>
      <c r="BC42" s="7"/>
      <c r="BD42" s="7"/>
    </row>
    <row r="43" customHeight="true" ht="33.0">
      <c r="A43" s="13" t="inlineStr">
        <is>
          <t>DIDA</t>
        </is>
      </c>
      <c r="B43" s="14"/>
      <c r="C43" s="15" t="inlineStr">
        <is>
          <t>365027492771</t>
        </is>
      </c>
      <c r="D43" s="15" t="inlineStr">
        <is>
          <t>365027492771</t>
        </is>
      </c>
      <c r="E43" s="7" t="n">
        <v>1.0</v>
      </c>
      <c r="F43" s="11" t="n">
        <v>0.24</v>
      </c>
      <c r="G43" s="7" t="inlineStr">
        <is>
          <t>KGM</t>
        </is>
      </c>
      <c r="H43" s="16" t="n">
        <f>UPPER(AX43)</f>
        <v>0.0</v>
      </c>
      <c r="I43" s="16" t="n">
        <f>UPPER(AY43)</f>
        <v>0.0</v>
      </c>
      <c r="J43" s="16" t="inlineStr">
        <is>
          <t>永井 恵美</t>
        </is>
      </c>
      <c r="K43" s="25" t="n">
        <f>UPPER(J43)</f>
        <v>0.0</v>
      </c>
      <c r="L43" s="25"/>
      <c r="M43" s="26" t="n">
        <f>AU43&amp;AV43&amp;AW43&amp;BD43</f>
        <v>0.0</v>
      </c>
      <c r="N43" s="27" t="n">
        <f>UPPER(M43)</f>
        <v>0.0</v>
      </c>
      <c r="O43" s="28" t="n">
        <f>MID(N43,MIN(IFERROR(FIND({0,1,2,3,4,5,6,7,8,9},N43),LEN(N43)+1)),LEN(N43))</f>
        <v>0.0</v>
      </c>
      <c r="P43" s="28" t="n">
        <f>L43&amp;" "&amp;O43</f>
        <v>0.0</v>
      </c>
      <c r="Q43" s="27" t="inlineStr">
        <is>
          <t>519-5711</t>
        </is>
      </c>
      <c r="R43" s="30" t="inlineStr">
        <is>
          <t>0735-32-3030</t>
        </is>
      </c>
      <c r="S43" s="31" t="inlineStr">
        <is>
          <t xml:space="preserve">HUI ZHOU JING SHAN GONG MAO YOU XIAN GONG SI </t>
        </is>
      </c>
      <c r="T43" s="31" t="inlineStr">
        <is>
          <t>GUANG DONG SHENG HUI ZHOU SHI HUI CHENG QU QIAO DONG JIE DAO HUI ZHOU SHI HUI ZHOU DA DAO 108 HAO</t>
        </is>
      </c>
      <c r="U43" s="32" t="inlineStr">
        <is>
          <t>C&amp;F</t>
        </is>
      </c>
      <c r="V43" s="32" t="inlineStr">
        <is>
          <t>JPY</t>
        </is>
      </c>
      <c r="W43" s="33"/>
      <c r="X43" s="34" t="n">
        <f>INT(AZ43)</f>
        <v>0.0</v>
      </c>
      <c r="Y43" s="32" t="inlineStr">
        <is>
          <t>A</t>
        </is>
      </c>
      <c r="Z43" s="32" t="inlineStr">
        <is>
          <t>JPY</t>
        </is>
      </c>
      <c r="AA43" s="32"/>
      <c r="AB43" s="32" t="inlineStr">
        <is>
          <t>CN</t>
        </is>
      </c>
      <c r="AD43" s="27" t="inlineStr">
        <is>
          <t>永井 恵美</t>
        </is>
      </c>
      <c r="AE43" s="7" t="n">
        <f>AU43&amp;AV43&amp;AW43&amp;BD43</f>
        <v>0.0</v>
      </c>
      <c r="AF43" s="7" t="inlineStr">
        <is>
          <t>0735-32-3030</t>
        </is>
      </c>
      <c r="AG43" s="7" t="inlineStr">
        <is>
          <t>519-5711</t>
        </is>
      </c>
      <c r="AH43" s="7" t="inlineStr">
        <is>
          <t>JETMILLIO楽天市場店</t>
        </is>
      </c>
      <c r="AI43" s="7" t="n">
        <f>BB43&amp;BC43&amp;BA43</f>
        <v>0.0</v>
      </c>
      <c r="AJ43" s="7" t="inlineStr">
        <is>
          <t xml:space="preserve"> 050-3181-9787</t>
        </is>
      </c>
      <c r="AK43" s="39" t="inlineStr">
        <is>
          <t>C</t>
        </is>
      </c>
      <c r="AL43" s="39" t="n">
        <v>1.0</v>
      </c>
      <c r="AM43" s="27" t="n">
        <f>IF(OR(ISNUMBER(SEARCH("amazon",AH43)),ISNUMBER(SEARCH("亚马逊",AH43))),"PUS001",IF(OR(ISNUMBER(SEARCH("rakuten",AH43)),ISNUMBER(SEARCH("楽天",AH43)),ISNUMBER(SEARCH("乐天",AH43))),"PJP001",IF(ISNUMBER(SEARCH("tik tok shop",AH43)),"PSG003",IF(ISNUMBER(SEARCH("temu",AH43)),"PSG001",IF(ISNUMBER(SEARCH("shein",AH43)),"JSG001",IF(OR(ISNUMBER(SEARCH("yahoo",AH43)),ISNUMBER(SEARCH("雅虎",AH43)),ISNUMBER(SEARCH("雅",AH43)),LEFT(UPPER(AH43),1)="Y"),"PJP005",IF(ISNUMBER(SEARCH("DDA JAPAN",AH43)),CHOOSE(RANDBETWEEN(1,3),"temu","PSG003","PSG001"),"JCNZZZ")))))))</f>
        <v>0.0</v>
      </c>
      <c r="AN43" s="7" t="n">
        <f>IF(ISNUMBER(SEARCH("JCNZZZ",AM43)),CHOOSE(RANDBETWEEN(1,4),"TAOBAO0","JinDdong","PingDduoDduo","ALIBABA"),"")</f>
        <v>0.0</v>
      </c>
      <c r="AU43" s="7" t="inlineStr">
        <is>
          <t>三重県</t>
        </is>
      </c>
      <c r="AV43" s="7" t="inlineStr">
        <is>
          <t>南牟婁郡紀宝町</t>
        </is>
      </c>
      <c r="AW43" s="7" t="inlineStr">
        <is>
          <t>井田1598</t>
        </is>
      </c>
      <c r="AX43" s="7" t="inlineStr">
        <is>
          <t>cleaning brush</t>
        </is>
      </c>
      <c r="AY43" s="7" t="inlineStr">
        <is>
          <t>304 stainless steel</t>
        </is>
      </c>
      <c r="AZ43" s="7" t="n">
        <v>15.0</v>
      </c>
      <c r="BA43" s="7" t="inlineStr">
        <is>
          <t xml:space="preserve"> 東京都大田区上池台３－２４－１４スターハイツ洗足池２　２０２</t>
        </is>
      </c>
      <c r="BB43" s="7"/>
      <c r="BC43" s="7"/>
      <c r="BD43" s="7"/>
    </row>
    <row r="44" customHeight="true" ht="33.0">
      <c r="A44" s="13" t="inlineStr">
        <is>
          <t>DIDA</t>
        </is>
      </c>
      <c r="B44" s="14"/>
      <c r="C44" s="15" t="inlineStr">
        <is>
          <t>365027492546</t>
        </is>
      </c>
      <c r="D44" s="15" t="inlineStr">
        <is>
          <t>365027492546</t>
        </is>
      </c>
      <c r="E44" s="7" t="n">
        <v>1.0</v>
      </c>
      <c r="F44" s="11" t="n">
        <v>0.42</v>
      </c>
      <c r="G44" s="7" t="inlineStr">
        <is>
          <t>KGM</t>
        </is>
      </c>
      <c r="H44" s="16" t="n">
        <f>UPPER(AX44)</f>
        <v>0.0</v>
      </c>
      <c r="I44" s="16" t="n">
        <f>UPPER(AY44)</f>
        <v>0.0</v>
      </c>
      <c r="J44" s="16" t="inlineStr">
        <is>
          <t>長谷川資洋 (エスアイエイジェンシー依頼分)</t>
        </is>
      </c>
      <c r="K44" s="25" t="n">
        <f>UPPER(J44)</f>
        <v>0.0</v>
      </c>
      <c r="L44" s="25"/>
      <c r="M44" s="26" t="n">
        <f>AU44&amp;AV44&amp;AW44&amp;BD44</f>
        <v>0.0</v>
      </c>
      <c r="N44" s="27" t="n">
        <f>UPPER(M44)</f>
        <v>0.0</v>
      </c>
      <c r="O44" s="28" t="n">
        <f>MID(N44,MIN(IFERROR(FIND({0,1,2,3,4,5,6,7,8,9},N44),LEN(N44)+1)),LEN(N44))</f>
        <v>0.0</v>
      </c>
      <c r="P44" s="28" t="n">
        <f>L44&amp;" "&amp;O44</f>
        <v>0.0</v>
      </c>
      <c r="Q44" s="27" t="inlineStr">
        <is>
          <t>321-2523</t>
        </is>
      </c>
      <c r="R44" s="30" t="inlineStr">
        <is>
          <t>080-4210-9142</t>
        </is>
      </c>
      <c r="S44" s="31" t="inlineStr">
        <is>
          <t xml:space="preserve">HUI ZHOU JING SHAN GONG MAO YOU XIAN GONG SI </t>
        </is>
      </c>
      <c r="T44" s="31" t="inlineStr">
        <is>
          <t>GUANG DONG SHENG HUI ZHOU SHI HUI CHENG QU QIAO DONG JIE DAO HUI ZHOU SHI HUI ZHOU DA DAO 108 HAO</t>
        </is>
      </c>
      <c r="U44" s="32" t="inlineStr">
        <is>
          <t>C&amp;F</t>
        </is>
      </c>
      <c r="V44" s="32" t="inlineStr">
        <is>
          <t>JPY</t>
        </is>
      </c>
      <c r="W44" s="33"/>
      <c r="X44" s="34" t="n">
        <f>INT(AZ44)</f>
        <v>0.0</v>
      </c>
      <c r="Y44" s="32" t="inlineStr">
        <is>
          <t>A</t>
        </is>
      </c>
      <c r="Z44" s="32" t="inlineStr">
        <is>
          <t>JPY</t>
        </is>
      </c>
      <c r="AA44" s="32"/>
      <c r="AB44" s="32" t="inlineStr">
        <is>
          <t>CN</t>
        </is>
      </c>
      <c r="AD44" s="27" t="inlineStr">
        <is>
          <t>長谷川資洋 (エスアイエイジェンシー依頼分)</t>
        </is>
      </c>
      <c r="AE44" s="7" t="n">
        <f>AU44&amp;AV44&amp;AW44&amp;BD44</f>
        <v>0.0</v>
      </c>
      <c r="AF44" s="7" t="inlineStr">
        <is>
          <t>080-4210-9142</t>
        </is>
      </c>
      <c r="AG44" s="7" t="inlineStr">
        <is>
          <t>321-2523</t>
        </is>
      </c>
      <c r="AH44" s="7" t="inlineStr">
        <is>
          <t>I.M.P楽天市場店</t>
        </is>
      </c>
      <c r="AI44" s="7" t="n">
        <f>BB44&amp;BC44&amp;BA44</f>
        <v>0.0</v>
      </c>
      <c r="AJ44" s="7" t="inlineStr">
        <is>
          <t xml:space="preserve"> 050-3092-1704</t>
        </is>
      </c>
      <c r="AK44" s="39" t="inlineStr">
        <is>
          <t>C</t>
        </is>
      </c>
      <c r="AL44" s="39" t="n">
        <v>1.0</v>
      </c>
      <c r="AM44" s="27" t="n">
        <f>IF(OR(ISNUMBER(SEARCH("amazon",AH44)),ISNUMBER(SEARCH("亚马逊",AH44))),"PUS001",IF(OR(ISNUMBER(SEARCH("rakuten",AH44)),ISNUMBER(SEARCH("楽天",AH44)),ISNUMBER(SEARCH("乐天",AH44))),"PJP001",IF(ISNUMBER(SEARCH("tik tok shop",AH44)),"PSG003",IF(ISNUMBER(SEARCH("temu",AH44)),"PSG001",IF(ISNUMBER(SEARCH("shein",AH44)),"JSG001",IF(OR(ISNUMBER(SEARCH("yahoo",AH44)),ISNUMBER(SEARCH("雅虎",AH44)),ISNUMBER(SEARCH("雅",AH44)),LEFT(UPPER(AH44),1)="Y"),"PJP005",IF(ISNUMBER(SEARCH("DDA JAPAN",AH44)),CHOOSE(RANDBETWEEN(1,3),"temu","PSG003","PSG001"),"JCNZZZ")))))))</f>
        <v>0.0</v>
      </c>
      <c r="AN44" s="7" t="n">
        <f>IF(ISNUMBER(SEARCH("JCNZZZ",AM44)),CHOOSE(RANDBETWEEN(1,4),"TAOBAO0","JinDdong","PingDduoDduo","ALIBABA"),"")</f>
        <v>0.0</v>
      </c>
      <c r="AU44" s="7" t="inlineStr">
        <is>
          <t>栃木県</t>
        </is>
      </c>
      <c r="AV44" s="7" t="inlineStr">
        <is>
          <t>日光市</t>
        </is>
      </c>
      <c r="AW44" s="7" t="inlineStr">
        <is>
          <t>高徳38番地3 サンクチュアリコート日光 購買部 フロント29</t>
        </is>
      </c>
      <c r="AX44" s="7" t="inlineStr">
        <is>
          <t>doorbell</t>
        </is>
      </c>
      <c r="AY44" s="7" t="inlineStr">
        <is>
          <t>abs</t>
        </is>
      </c>
      <c r="AZ44" s="7" t="n">
        <v>17.0</v>
      </c>
      <c r="BA44" s="7" t="inlineStr">
        <is>
          <t xml:space="preserve"> 滋賀県甲賀市甲南町野尻558</t>
        </is>
      </c>
      <c r="BB44" s="7"/>
      <c r="BC44" s="7"/>
      <c r="BD44" s="7"/>
    </row>
    <row r="45" customHeight="true" ht="33.0">
      <c r="A45" s="13" t="inlineStr">
        <is>
          <t>DIDA</t>
        </is>
      </c>
      <c r="B45" s="14"/>
      <c r="C45" s="15" t="inlineStr">
        <is>
          <t>365027492981</t>
        </is>
      </c>
      <c r="D45" s="15" t="inlineStr">
        <is>
          <t>365027492981</t>
        </is>
      </c>
      <c r="E45" s="7" t="n">
        <v>1.0</v>
      </c>
      <c r="F45" s="11" t="n">
        <v>0.45</v>
      </c>
      <c r="G45" s="7" t="inlineStr">
        <is>
          <t>KGM</t>
        </is>
      </c>
      <c r="H45" s="16" t="n">
        <f>UPPER(AX45)</f>
        <v>0.0</v>
      </c>
      <c r="I45" s="16" t="n">
        <f>UPPER(AY45)</f>
        <v>0.0</v>
      </c>
      <c r="J45" s="16" t="inlineStr">
        <is>
          <t>伊藤 珠子</t>
        </is>
      </c>
      <c r="K45" s="25" t="n">
        <f>UPPER(J45)</f>
        <v>0.0</v>
      </c>
      <c r="L45" s="25"/>
      <c r="M45" s="26" t="n">
        <f>AU45&amp;AV45&amp;AW45&amp;BD45</f>
        <v>0.0</v>
      </c>
      <c r="N45" s="27" t="n">
        <f>UPPER(M45)</f>
        <v>0.0</v>
      </c>
      <c r="O45" s="28" t="n">
        <f>MID(N45,MIN(IFERROR(FIND({0,1,2,3,4,5,6,7,8,9},N45),LEN(N45)+1)),LEN(N45))</f>
        <v>0.0</v>
      </c>
      <c r="P45" s="28" t="n">
        <f>L45&amp;" "&amp;O45</f>
        <v>0.0</v>
      </c>
      <c r="Q45" s="27" t="inlineStr">
        <is>
          <t>441-8133</t>
        </is>
      </c>
      <c r="R45" s="30" t="inlineStr">
        <is>
          <t>0532-25-1617</t>
        </is>
      </c>
      <c r="S45" s="31" t="inlineStr">
        <is>
          <t xml:space="preserve">HUI ZHOU JING SHAN GONG MAO YOU XIAN GONG SI </t>
        </is>
      </c>
      <c r="T45" s="31" t="inlineStr">
        <is>
          <t>GUANG DONG SHENG HUI ZHOU SHI HUI CHENG QU QIAO DONG JIE DAO HUI ZHOU SHI HUI ZHOU DA DAO 108 HAO</t>
        </is>
      </c>
      <c r="U45" s="32" t="inlineStr">
        <is>
          <t>C&amp;F</t>
        </is>
      </c>
      <c r="V45" s="32" t="inlineStr">
        <is>
          <t>JPY</t>
        </is>
      </c>
      <c r="W45" s="33"/>
      <c r="X45" s="34" t="n">
        <f>INT(AZ45)</f>
        <v>0.0</v>
      </c>
      <c r="Y45" s="32" t="inlineStr">
        <is>
          <t>A</t>
        </is>
      </c>
      <c r="Z45" s="32" t="inlineStr">
        <is>
          <t>JPY</t>
        </is>
      </c>
      <c r="AA45" s="32"/>
      <c r="AB45" s="32" t="inlineStr">
        <is>
          <t>CN</t>
        </is>
      </c>
      <c r="AD45" s="27" t="inlineStr">
        <is>
          <t>伊藤 珠子</t>
        </is>
      </c>
      <c r="AE45" s="7" t="n">
        <f>AU45&amp;AV45&amp;AW45&amp;BD45</f>
        <v>0.0</v>
      </c>
      <c r="AF45" s="7" t="inlineStr">
        <is>
          <t>0532-25-1617</t>
        </is>
      </c>
      <c r="AG45" s="7" t="inlineStr">
        <is>
          <t>441-8133</t>
        </is>
      </c>
      <c r="AH45" s="7" t="inlineStr">
        <is>
          <t>FINTRUE</t>
        </is>
      </c>
      <c r="AI45" s="7" t="n">
        <f>BB45&amp;BC45&amp;BA45</f>
        <v>0.0</v>
      </c>
      <c r="AJ45" s="7" t="inlineStr">
        <is>
          <t xml:space="preserve"> 05058401648</t>
        </is>
      </c>
      <c r="AK45" s="39" t="inlineStr">
        <is>
          <t>C</t>
        </is>
      </c>
      <c r="AL45" s="39" t="n">
        <v>1.0</v>
      </c>
      <c r="AM45" s="27" t="n">
        <f>IF(OR(ISNUMBER(SEARCH("amazon",AH45)),ISNUMBER(SEARCH("亚马逊",AH45))),"PUS001",IF(OR(ISNUMBER(SEARCH("rakuten",AH45)),ISNUMBER(SEARCH("楽天",AH45)),ISNUMBER(SEARCH("乐天",AH45))),"PJP001",IF(ISNUMBER(SEARCH("tik tok shop",AH45)),"PSG003",IF(ISNUMBER(SEARCH("temu",AH45)),"PSG001",IF(ISNUMBER(SEARCH("shein",AH45)),"JSG001",IF(OR(ISNUMBER(SEARCH("yahoo",AH45)),ISNUMBER(SEARCH("雅虎",AH45)),ISNUMBER(SEARCH("雅",AH45)),LEFT(UPPER(AH45),1)="Y"),"PJP005",IF(ISNUMBER(SEARCH("DDA JAPAN",AH45)),CHOOSE(RANDBETWEEN(1,3),"temu","PSG003","PSG001"),"JCNZZZ")))))))</f>
        <v>0.0</v>
      </c>
      <c r="AN45" s="7" t="n">
        <f>IF(ISNUMBER(SEARCH("JCNZZZ",AM45)),CHOOSE(RANDBETWEEN(1,4),"TAOBAO0","JinDdong","PingDduoDduo","ALIBABA"),"")</f>
        <v>0.0</v>
      </c>
      <c r="AU45" s="7" t="inlineStr">
        <is>
          <t>愛知県</t>
        </is>
      </c>
      <c r="AV45" s="7" t="inlineStr">
        <is>
          <t>豊橋市</t>
        </is>
      </c>
      <c r="AW45" s="7" t="inlineStr">
        <is>
          <t>大清水町字大清水444-1</t>
        </is>
      </c>
      <c r="AX45" s="7" t="inlineStr">
        <is>
          <t>lamp</t>
        </is>
      </c>
      <c r="AY45" s="7" t="inlineStr">
        <is>
          <t>Stainless steel</t>
        </is>
      </c>
      <c r="AZ45" s="7" t="n">
        <v>17.0</v>
      </c>
      <c r="BA45" s="7" t="inlineStr">
        <is>
          <t xml:space="preserve"> 大阪府大阪市中央区安堂寺町2-1-3-901</t>
        </is>
      </c>
      <c r="BB45" s="7"/>
      <c r="BC45" s="7"/>
      <c r="BD45" s="7"/>
    </row>
    <row r="46" customHeight="true" ht="33.0">
      <c r="A46" s="13" t="inlineStr">
        <is>
          <t>DIDA</t>
        </is>
      </c>
      <c r="B46" s="14"/>
      <c r="C46" s="15" t="inlineStr">
        <is>
          <t>365027492561</t>
        </is>
      </c>
      <c r="D46" s="15" t="inlineStr">
        <is>
          <t>365027492561</t>
        </is>
      </c>
      <c r="E46" s="7" t="n">
        <v>1.0</v>
      </c>
      <c r="F46" s="11" t="n">
        <v>0.42</v>
      </c>
      <c r="G46" s="7" t="inlineStr">
        <is>
          <t>KGM</t>
        </is>
      </c>
      <c r="H46" s="16" t="n">
        <f>UPPER(AX46)</f>
        <v>0.0</v>
      </c>
      <c r="I46" s="16" t="n">
        <f>UPPER(AY46)</f>
        <v>0.0</v>
      </c>
      <c r="J46" s="16" t="inlineStr">
        <is>
          <t>原島 健二 [ハラシマ ケンジ]</t>
        </is>
      </c>
      <c r="K46" s="25" t="n">
        <f>UPPER(J46)</f>
        <v>0.0</v>
      </c>
      <c r="L46" s="25"/>
      <c r="M46" s="26" t="n">
        <f>AU46&amp;AV46&amp;AW46&amp;BD46</f>
        <v>0.0</v>
      </c>
      <c r="N46" s="27" t="n">
        <f>UPPER(M46)</f>
        <v>0.0</v>
      </c>
      <c r="O46" s="28" t="n">
        <f>MID(N46,MIN(IFERROR(FIND({0,1,2,3,4,5,6,7,8,9},N46),LEN(N46)+1)),LEN(N46))</f>
        <v>0.0</v>
      </c>
      <c r="P46" s="28" t="n">
        <f>L46&amp;" "&amp;O46</f>
        <v>0.0</v>
      </c>
      <c r="Q46" s="27" t="inlineStr">
        <is>
          <t>004-0052</t>
        </is>
      </c>
      <c r="R46" s="30" t="inlineStr">
        <is>
          <t>090-2635-9143</t>
        </is>
      </c>
      <c r="S46" s="31" t="inlineStr">
        <is>
          <t xml:space="preserve">HUI ZHOU JING SHAN GONG MAO YOU XIAN GONG SI </t>
        </is>
      </c>
      <c r="T46" s="31" t="inlineStr">
        <is>
          <t>GUANG DONG SHENG HUI ZHOU SHI HUI CHENG QU QIAO DONG JIE DAO HUI ZHOU SHI HUI ZHOU DA DAO 108 HAO</t>
        </is>
      </c>
      <c r="U46" s="32" t="inlineStr">
        <is>
          <t>C&amp;F</t>
        </is>
      </c>
      <c r="V46" s="32" t="inlineStr">
        <is>
          <t>JPY</t>
        </is>
      </c>
      <c r="W46" s="33"/>
      <c r="X46" s="34" t="n">
        <f>INT(AZ46)</f>
        <v>0.0</v>
      </c>
      <c r="Y46" s="32" t="inlineStr">
        <is>
          <t>A</t>
        </is>
      </c>
      <c r="Z46" s="32" t="inlineStr">
        <is>
          <t>JPY</t>
        </is>
      </c>
      <c r="AA46" s="32"/>
      <c r="AB46" s="32" t="inlineStr">
        <is>
          <t>CN</t>
        </is>
      </c>
      <c r="AD46" s="27" t="inlineStr">
        <is>
          <t>原島 健二 [ハラシマ ケンジ]</t>
        </is>
      </c>
      <c r="AE46" s="7" t="n">
        <f>AU46&amp;AV46&amp;AW46&amp;BD46</f>
        <v>0.0</v>
      </c>
      <c r="AF46" s="7" t="inlineStr">
        <is>
          <t>090-2635-9143</t>
        </is>
      </c>
      <c r="AG46" s="7" t="inlineStr">
        <is>
          <t>004-0052</t>
        </is>
      </c>
      <c r="AH46" s="7" t="inlineStr">
        <is>
          <t>楽天-和心-H</t>
        </is>
      </c>
      <c r="AI46" s="7" t="n">
        <f>BB46&amp;BC46&amp;BA46</f>
        <v>0.0</v>
      </c>
      <c r="AJ46" s="7" t="inlineStr">
        <is>
          <t xml:space="preserve"> 05030919965</t>
        </is>
      </c>
      <c r="AK46" s="39" t="inlineStr">
        <is>
          <t>C</t>
        </is>
      </c>
      <c r="AL46" s="39" t="n">
        <v>1.0</v>
      </c>
      <c r="AM46" s="27" t="n">
        <f>IF(OR(ISNUMBER(SEARCH("amazon",AH46)),ISNUMBER(SEARCH("亚马逊",AH46))),"PUS001",IF(OR(ISNUMBER(SEARCH("rakuten",AH46)),ISNUMBER(SEARCH("楽天",AH46)),ISNUMBER(SEARCH("乐天",AH46))),"PJP001",IF(ISNUMBER(SEARCH("tik tok shop",AH46)),"PSG003",IF(ISNUMBER(SEARCH("temu",AH46)),"PSG001",IF(ISNUMBER(SEARCH("shein",AH46)),"JSG001",IF(OR(ISNUMBER(SEARCH("yahoo",AH46)),ISNUMBER(SEARCH("雅虎",AH46)),ISNUMBER(SEARCH("雅",AH46)),LEFT(UPPER(AH46),1)="Y"),"PJP005",IF(ISNUMBER(SEARCH("DDA JAPAN",AH46)),CHOOSE(RANDBETWEEN(1,3),"temu","PSG003","PSG001"),"JCNZZZ")))))))</f>
        <v>0.0</v>
      </c>
      <c r="AN46" s="7" t="n">
        <f>IF(ISNUMBER(SEARCH("JCNZZZ",AM46)),CHOOSE(RANDBETWEEN(1,4),"TAOBAO0","JinDdong","PingDduoDduo","ALIBABA"),"")</f>
        <v>0.0</v>
      </c>
      <c r="AU46" s="7" t="inlineStr">
        <is>
          <t>北海道</t>
        </is>
      </c>
      <c r="AV46" s="7" t="inlineStr">
        <is>
          <t>札幌市厚別区</t>
        </is>
      </c>
      <c r="AW46" s="7" t="inlineStr">
        <is>
          <t>厚別中央二条2-9-7 トラスコートひばりが丘302</t>
        </is>
      </c>
      <c r="AX46" s="7" t="inlineStr">
        <is>
          <t>Toy</t>
        </is>
      </c>
      <c r="AY46" s="7" t="inlineStr">
        <is>
          <t>ABS</t>
        </is>
      </c>
      <c r="AZ46" s="7" t="n">
        <v>4.0</v>
      </c>
      <c r="BA46" s="7" t="inlineStr">
        <is>
          <t xml:space="preserve"> 東京都稲城市平尾１－１４－１７</t>
        </is>
      </c>
      <c r="BB46" s="7"/>
      <c r="BC46" s="7"/>
      <c r="BD46" s="7"/>
    </row>
    <row r="47" customHeight="true" ht="33.0">
      <c r="A47" s="13" t="inlineStr">
        <is>
          <t>DIDA</t>
        </is>
      </c>
      <c r="B47" s="14"/>
      <c r="C47" s="15" t="inlineStr">
        <is>
          <t>365027493294</t>
        </is>
      </c>
      <c r="D47" s="15" t="inlineStr">
        <is>
          <t>365027493294</t>
        </is>
      </c>
      <c r="E47" s="7" t="n">
        <v>1.0</v>
      </c>
      <c r="F47" s="11" t="n">
        <v>0.46</v>
      </c>
      <c r="G47" s="7" t="inlineStr">
        <is>
          <t>KGM</t>
        </is>
      </c>
      <c r="H47" s="16" t="n">
        <f>UPPER(AX47)</f>
        <v>0.0</v>
      </c>
      <c r="I47" s="16" t="n">
        <f>UPPER(AY47)</f>
        <v>0.0</v>
      </c>
      <c r="J47" s="16" t="inlineStr">
        <is>
          <t>水阪 由美</t>
        </is>
      </c>
      <c r="K47" s="25" t="n">
        <f>UPPER(J47)</f>
        <v>0.0</v>
      </c>
      <c r="L47" s="25"/>
      <c r="M47" s="26" t="n">
        <f>AU47&amp;AV47&amp;AW47&amp;BD47</f>
        <v>0.0</v>
      </c>
      <c r="N47" s="27" t="n">
        <f>UPPER(M47)</f>
        <v>0.0</v>
      </c>
      <c r="O47" s="28" t="n">
        <f>MID(N47,MIN(IFERROR(FIND({0,1,2,3,4,5,6,7,8,9},N47),LEN(N47)+1)),LEN(N47))</f>
        <v>0.0</v>
      </c>
      <c r="P47" s="28" t="n">
        <f>L47&amp;" "&amp;O47</f>
        <v>0.0</v>
      </c>
      <c r="Q47" s="27" t="inlineStr">
        <is>
          <t>550-0013</t>
        </is>
      </c>
      <c r="R47" s="30" t="inlineStr">
        <is>
          <t>090-6370-4457</t>
        </is>
      </c>
      <c r="S47" s="31" t="inlineStr">
        <is>
          <t xml:space="preserve">HUI ZHOU JING SHAN GONG MAO YOU XIAN GONG SI </t>
        </is>
      </c>
      <c r="T47" s="31" t="inlineStr">
        <is>
          <t>GUANG DONG SHENG HUI ZHOU SHI HUI CHENG QU QIAO DONG JIE DAO HUI ZHOU SHI HUI ZHOU DA DAO 108 HAO</t>
        </is>
      </c>
      <c r="U47" s="32" t="inlineStr">
        <is>
          <t>C&amp;F</t>
        </is>
      </c>
      <c r="V47" s="32" t="inlineStr">
        <is>
          <t>JPY</t>
        </is>
      </c>
      <c r="W47" s="33"/>
      <c r="X47" s="34" t="n">
        <f>INT(AZ47)</f>
        <v>0.0</v>
      </c>
      <c r="Y47" s="32" t="inlineStr">
        <is>
          <t>A</t>
        </is>
      </c>
      <c r="Z47" s="32" t="inlineStr">
        <is>
          <t>JPY</t>
        </is>
      </c>
      <c r="AA47" s="32"/>
      <c r="AB47" s="32" t="inlineStr">
        <is>
          <t>CN</t>
        </is>
      </c>
      <c r="AD47" s="27" t="inlineStr">
        <is>
          <t>水阪 由美</t>
        </is>
      </c>
      <c r="AE47" s="7" t="n">
        <f>AU47&amp;AV47&amp;AW47&amp;BD47</f>
        <v>0.0</v>
      </c>
      <c r="AF47" s="7" t="inlineStr">
        <is>
          <t>090-6370-4457</t>
        </is>
      </c>
      <c r="AG47" s="7" t="inlineStr">
        <is>
          <t>550-0013</t>
        </is>
      </c>
      <c r="AH47" s="7" t="inlineStr">
        <is>
          <t>JETMILLIO楽天市場店</t>
        </is>
      </c>
      <c r="AI47" s="7" t="n">
        <f>BB47&amp;BC47&amp;BA47</f>
        <v>0.0</v>
      </c>
      <c r="AJ47" s="7" t="inlineStr">
        <is>
          <t xml:space="preserve"> 050-3181-9787</t>
        </is>
      </c>
      <c r="AK47" s="39" t="inlineStr">
        <is>
          <t>C</t>
        </is>
      </c>
      <c r="AL47" s="39" t="n">
        <v>1.0</v>
      </c>
      <c r="AM47" s="27" t="n">
        <f>IF(OR(ISNUMBER(SEARCH("amazon",AH47)),ISNUMBER(SEARCH("亚马逊",AH47))),"PUS001",IF(OR(ISNUMBER(SEARCH("rakuten",AH47)),ISNUMBER(SEARCH("楽天",AH47)),ISNUMBER(SEARCH("乐天",AH47))),"PJP001",IF(ISNUMBER(SEARCH("tik tok shop",AH47)),"PSG003",IF(ISNUMBER(SEARCH("temu",AH47)),"PSG001",IF(ISNUMBER(SEARCH("shein",AH47)),"JSG001",IF(OR(ISNUMBER(SEARCH("yahoo",AH47)),ISNUMBER(SEARCH("雅虎",AH47)),ISNUMBER(SEARCH("雅",AH47)),LEFT(UPPER(AH47),1)="Y"),"PJP005",IF(ISNUMBER(SEARCH("DDA JAPAN",AH47)),CHOOSE(RANDBETWEEN(1,3),"temu","PSG003","PSG001"),"JCNZZZ")))))))</f>
        <v>0.0</v>
      </c>
      <c r="AN47" s="7" t="n">
        <f>IF(ISNUMBER(SEARCH("JCNZZZ",AM47)),CHOOSE(RANDBETWEEN(1,4),"TAOBAO0","JinDdong","PingDduoDduo","ALIBABA"),"")</f>
        <v>0.0</v>
      </c>
      <c r="AU47" s="7" t="inlineStr">
        <is>
          <t>大阪府</t>
        </is>
      </c>
      <c r="AV47" s="7" t="inlineStr">
        <is>
          <t>大阪市西区</t>
        </is>
      </c>
      <c r="AW47" s="7" t="inlineStr">
        <is>
          <t>新町2-16-17アーデンタワー新町1101号</t>
        </is>
      </c>
      <c r="AX47" s="7" t="inlineStr">
        <is>
          <t>Ornaments</t>
        </is>
      </c>
      <c r="AY47" s="7" t="inlineStr">
        <is>
          <t>copper</t>
        </is>
      </c>
      <c r="AZ47" s="7" t="n">
        <v>14.0</v>
      </c>
      <c r="BA47" s="7" t="inlineStr">
        <is>
          <t xml:space="preserve"> 東京都大田区上池台３－２４－１４スターハイツ洗足池２　２０２</t>
        </is>
      </c>
      <c r="BB47" s="7"/>
      <c r="BC47" s="7"/>
      <c r="BD47" s="7"/>
    </row>
    <row r="48" customHeight="true" ht="33.0">
      <c r="A48" s="13" t="inlineStr">
        <is>
          <t>DIDA</t>
        </is>
      </c>
      <c r="B48" s="14"/>
      <c r="C48" s="15" t="inlineStr">
        <is>
          <t>365027492745</t>
        </is>
      </c>
      <c r="D48" s="15" t="inlineStr">
        <is>
          <t>365027492745</t>
        </is>
      </c>
      <c r="E48" s="7" t="n">
        <v>1.0</v>
      </c>
      <c r="F48" s="11" t="n">
        <v>0.31</v>
      </c>
      <c r="G48" s="7" t="inlineStr">
        <is>
          <t>KGM</t>
        </is>
      </c>
      <c r="H48" s="16" t="n">
        <f>UPPER(AX48)</f>
        <v>0.0</v>
      </c>
      <c r="I48" s="16" t="n">
        <f>UPPER(AY48)</f>
        <v>0.0</v>
      </c>
      <c r="J48" s="16" t="inlineStr">
        <is>
          <t>高村 精一郎</t>
        </is>
      </c>
      <c r="K48" s="25" t="n">
        <f>UPPER(J48)</f>
        <v>0.0</v>
      </c>
      <c r="L48" s="25"/>
      <c r="M48" s="26" t="n">
        <f>AU48&amp;AV48&amp;AW48&amp;BD48</f>
        <v>0.0</v>
      </c>
      <c r="N48" s="27" t="n">
        <f>UPPER(M48)</f>
        <v>0.0</v>
      </c>
      <c r="O48" s="28" t="n">
        <f>MID(N48,MIN(IFERROR(FIND({0,1,2,3,4,5,6,7,8,9},N48),LEN(N48)+1)),LEN(N48))</f>
        <v>0.0</v>
      </c>
      <c r="P48" s="28" t="n">
        <f>L48&amp;" "&amp;O48</f>
        <v>0.0</v>
      </c>
      <c r="Q48" s="27" t="inlineStr">
        <is>
          <t>359-0024</t>
        </is>
      </c>
      <c r="R48" s="30" t="inlineStr">
        <is>
          <t>04-2944-6506</t>
        </is>
      </c>
      <c r="S48" s="31" t="inlineStr">
        <is>
          <t xml:space="preserve">HUI ZHOU JING SHAN GONG MAO YOU XIAN GONG SI </t>
        </is>
      </c>
      <c r="T48" s="31" t="inlineStr">
        <is>
          <t>GUANG DONG SHENG HUI ZHOU SHI HUI CHENG QU QIAO DONG JIE DAO HUI ZHOU SHI HUI ZHOU DA DAO 108 HAO</t>
        </is>
      </c>
      <c r="U48" s="32" t="inlineStr">
        <is>
          <t>C&amp;F</t>
        </is>
      </c>
      <c r="V48" s="32" t="inlineStr">
        <is>
          <t>JPY</t>
        </is>
      </c>
      <c r="W48" s="33"/>
      <c r="X48" s="34" t="n">
        <f>INT(AZ48)</f>
        <v>0.0</v>
      </c>
      <c r="Y48" s="32" t="inlineStr">
        <is>
          <t>A</t>
        </is>
      </c>
      <c r="Z48" s="32" t="inlineStr">
        <is>
          <t>JPY</t>
        </is>
      </c>
      <c r="AA48" s="32"/>
      <c r="AB48" s="32" t="inlineStr">
        <is>
          <t>CN</t>
        </is>
      </c>
      <c r="AD48" s="27" t="inlineStr">
        <is>
          <t>高村 精一郎</t>
        </is>
      </c>
      <c r="AE48" s="7" t="n">
        <f>AU48&amp;AV48&amp;AW48&amp;BD48</f>
        <v>0.0</v>
      </c>
      <c r="AF48" s="7" t="inlineStr">
        <is>
          <t>04-2944-6506</t>
        </is>
      </c>
      <c r="AG48" s="7" t="inlineStr">
        <is>
          <t>359-0024</t>
        </is>
      </c>
      <c r="AH48" s="7" t="inlineStr">
        <is>
          <t>ラッキーストライク</t>
        </is>
      </c>
      <c r="AI48" s="7" t="n">
        <f>BB48&amp;BC48&amp;BA48</f>
        <v>0.0</v>
      </c>
      <c r="AJ48" s="7" t="inlineStr">
        <is>
          <t xml:space="preserve"> 05030911547</t>
        </is>
      </c>
      <c r="AK48" s="39" t="inlineStr">
        <is>
          <t>C</t>
        </is>
      </c>
      <c r="AL48" s="39" t="n">
        <v>1.0</v>
      </c>
      <c r="AM48" s="27" t="n">
        <f>IF(OR(ISNUMBER(SEARCH("amazon",AH48)),ISNUMBER(SEARCH("亚马逊",AH48))),"PUS001",IF(OR(ISNUMBER(SEARCH("rakuten",AH48)),ISNUMBER(SEARCH("楽天",AH48)),ISNUMBER(SEARCH("乐天",AH48))),"PJP001",IF(ISNUMBER(SEARCH("tik tok shop",AH48)),"PSG003",IF(ISNUMBER(SEARCH("temu",AH48)),"PSG001",IF(ISNUMBER(SEARCH("shein",AH48)),"JSG001",IF(OR(ISNUMBER(SEARCH("yahoo",AH48)),ISNUMBER(SEARCH("雅虎",AH48)),ISNUMBER(SEARCH("雅",AH48)),LEFT(UPPER(AH48),1)="Y"),"PJP005",IF(ISNUMBER(SEARCH("DDA JAPAN",AH48)),CHOOSE(RANDBETWEEN(1,3),"temu","PSG003","PSG001"),"JCNZZZ")))))))</f>
        <v>0.0</v>
      </c>
      <c r="AN48" s="7" t="n">
        <f>IF(ISNUMBER(SEARCH("JCNZZZ",AM48)),CHOOSE(RANDBETWEEN(1,4),"TAOBAO0","JinDdong","PingDduoDduo","ALIBABA"),"")</f>
        <v>0.0</v>
      </c>
      <c r="AU48" s="7" t="inlineStr">
        <is>
          <t>埼玉県</t>
        </is>
      </c>
      <c r="AV48" s="7" t="inlineStr">
        <is>
          <t>所沢市</t>
        </is>
      </c>
      <c r="AW48" s="7" t="inlineStr">
        <is>
          <t>下安松286-227</t>
        </is>
      </c>
      <c r="AX48" s="7" t="inlineStr">
        <is>
          <t>Cleaning supplies</t>
        </is>
      </c>
      <c r="AY48" s="7" t="inlineStr">
        <is>
          <t>PC</t>
        </is>
      </c>
      <c r="AZ48" s="7" t="n">
        <v>14.0</v>
      </c>
      <c r="BA48" s="7" t="inlineStr">
        <is>
          <t xml:space="preserve"> 東京都西多摩郡奥多摩町留浦１０１８</t>
        </is>
      </c>
      <c r="BB48" s="7"/>
      <c r="BC48" s="7"/>
      <c r="BD48" s="7"/>
    </row>
    <row r="49" customHeight="true" ht="33.0">
      <c r="A49" s="13" t="inlineStr">
        <is>
          <t>DIDA</t>
        </is>
      </c>
      <c r="B49" s="14"/>
      <c r="C49" s="15" t="inlineStr">
        <is>
          <t>365027493176</t>
        </is>
      </c>
      <c r="D49" s="15" t="inlineStr">
        <is>
          <t>365027493176</t>
        </is>
      </c>
      <c r="E49" s="7" t="n">
        <v>1.0</v>
      </c>
      <c r="F49" s="11" t="n">
        <v>0.21</v>
      </c>
      <c r="G49" s="7" t="inlineStr">
        <is>
          <t>KGM</t>
        </is>
      </c>
      <c r="H49" s="16" t="n">
        <f>UPPER(AX49)</f>
        <v>0.0</v>
      </c>
      <c r="I49" s="16" t="n">
        <f>UPPER(AY49)</f>
        <v>0.0</v>
      </c>
      <c r="J49" s="16" t="inlineStr">
        <is>
          <t>長井 智美</t>
        </is>
      </c>
      <c r="K49" s="25" t="n">
        <f>UPPER(J49)</f>
        <v>0.0</v>
      </c>
      <c r="L49" s="25"/>
      <c r="M49" s="26" t="n">
        <f>AU49&amp;AV49&amp;AW49&amp;BD49</f>
        <v>0.0</v>
      </c>
      <c r="N49" s="27" t="n">
        <f>UPPER(M49)</f>
        <v>0.0</v>
      </c>
      <c r="O49" s="28" t="n">
        <f>MID(N49,MIN(IFERROR(FIND({0,1,2,3,4,5,6,7,8,9},N49),LEN(N49)+1)),LEN(N49))</f>
        <v>0.0</v>
      </c>
      <c r="P49" s="28" t="n">
        <f>L49&amp;" "&amp;O49</f>
        <v>0.0</v>
      </c>
      <c r="Q49" s="27" t="inlineStr">
        <is>
          <t>253-0053</t>
        </is>
      </c>
      <c r="R49" s="30" t="inlineStr">
        <is>
          <t>080-3546-7292</t>
        </is>
      </c>
      <c r="S49" s="31" t="inlineStr">
        <is>
          <t xml:space="preserve">HUI ZHOU JING SHAN GONG MAO YOU XIAN GONG SI </t>
        </is>
      </c>
      <c r="T49" s="31" t="inlineStr">
        <is>
          <t>GUANG DONG SHENG HUI ZHOU SHI HUI CHENG QU QIAO DONG JIE DAO HUI ZHOU SHI HUI ZHOU DA DAO 108 HAO</t>
        </is>
      </c>
      <c r="U49" s="32" t="inlineStr">
        <is>
          <t>C&amp;F</t>
        </is>
      </c>
      <c r="V49" s="32" t="inlineStr">
        <is>
          <t>JPY</t>
        </is>
      </c>
      <c r="W49" s="33"/>
      <c r="X49" s="34" t="n">
        <f>INT(AZ49)</f>
        <v>0.0</v>
      </c>
      <c r="Y49" s="32" t="inlineStr">
        <is>
          <t>A</t>
        </is>
      </c>
      <c r="Z49" s="32" t="inlineStr">
        <is>
          <t>JPY</t>
        </is>
      </c>
      <c r="AA49" s="32"/>
      <c r="AB49" s="32" t="inlineStr">
        <is>
          <t>CN</t>
        </is>
      </c>
      <c r="AD49" s="27" t="inlineStr">
        <is>
          <t>長井 智美</t>
        </is>
      </c>
      <c r="AE49" s="7" t="n">
        <f>AU49&amp;AV49&amp;AW49&amp;BD49</f>
        <v>0.0</v>
      </c>
      <c r="AF49" s="7" t="inlineStr">
        <is>
          <t>080-3546-7292</t>
        </is>
      </c>
      <c r="AG49" s="7" t="inlineStr">
        <is>
          <t>253-0053</t>
        </is>
      </c>
      <c r="AH49" s="7" t="inlineStr">
        <is>
          <t>ジョシュミル</t>
        </is>
      </c>
      <c r="AI49" s="7" t="n">
        <f>BB49&amp;BC49&amp;BA49</f>
        <v>0.0</v>
      </c>
      <c r="AJ49" s="7" t="inlineStr">
        <is>
          <t xml:space="preserve"> 050-3092-1704</t>
        </is>
      </c>
      <c r="AK49" s="39" t="inlineStr">
        <is>
          <t>C</t>
        </is>
      </c>
      <c r="AL49" s="39" t="n">
        <v>1.0</v>
      </c>
      <c r="AM49" s="27" t="n">
        <f>IF(OR(ISNUMBER(SEARCH("amazon",AH49)),ISNUMBER(SEARCH("亚马逊",AH49))),"PUS001",IF(OR(ISNUMBER(SEARCH("rakuten",AH49)),ISNUMBER(SEARCH("楽天",AH49)),ISNUMBER(SEARCH("乐天",AH49))),"PJP001",IF(ISNUMBER(SEARCH("tik tok shop",AH49)),"PSG003",IF(ISNUMBER(SEARCH("temu",AH49)),"PSG001",IF(ISNUMBER(SEARCH("shein",AH49)),"JSG001",IF(OR(ISNUMBER(SEARCH("yahoo",AH49)),ISNUMBER(SEARCH("雅虎",AH49)),ISNUMBER(SEARCH("雅",AH49)),LEFT(UPPER(AH49),1)="Y"),"PJP005",IF(ISNUMBER(SEARCH("DDA JAPAN",AH49)),CHOOSE(RANDBETWEEN(1,3),"temu","PSG003","PSG001"),"JCNZZZ")))))))</f>
        <v>0.0</v>
      </c>
      <c r="AN49" s="7" t="n">
        <f>IF(ISNUMBER(SEARCH("JCNZZZ",AM49)),CHOOSE(RANDBETWEEN(1,4),"TAOBAO0","JinDdong","PingDduoDduo","ALIBABA"),"")</f>
        <v>0.0</v>
      </c>
      <c r="AU49" s="7" t="inlineStr">
        <is>
          <t>神奈川県</t>
        </is>
      </c>
      <c r="AV49" s="7" t="inlineStr">
        <is>
          <t>茅ヶ崎市</t>
        </is>
      </c>
      <c r="AW49" s="7" t="inlineStr">
        <is>
          <t>東海岸北5丁目1ー12ー2</t>
        </is>
      </c>
      <c r="AX49" s="7" t="inlineStr">
        <is>
          <t>Egg slicer</t>
        </is>
      </c>
      <c r="AY49" s="7" t="inlineStr">
        <is>
          <t>Stainless steel</t>
        </is>
      </c>
      <c r="AZ49" s="7" t="n">
        <v>15.0</v>
      </c>
      <c r="BA49" s="7" t="inlineStr">
        <is>
          <t xml:space="preserve"> 山形県山形市上町２－９－５</t>
        </is>
      </c>
      <c r="BB49" s="7"/>
      <c r="BC49" s="7"/>
      <c r="BD49" s="7"/>
    </row>
    <row r="50" customHeight="true" ht="33.0">
      <c r="A50" s="13" t="inlineStr">
        <is>
          <t>DIDA</t>
        </is>
      </c>
      <c r="B50" s="14"/>
      <c r="C50" s="15" t="inlineStr">
        <is>
          <t>365027492583</t>
        </is>
      </c>
      <c r="D50" s="15" t="inlineStr">
        <is>
          <t>365027492583</t>
        </is>
      </c>
      <c r="E50" s="7" t="n">
        <v>1.0</v>
      </c>
      <c r="F50" s="11" t="n">
        <v>0.98</v>
      </c>
      <c r="G50" s="7" t="inlineStr">
        <is>
          <t>KGM</t>
        </is>
      </c>
      <c r="H50" s="16" t="n">
        <f>UPPER(AX50)</f>
        <v>0.0</v>
      </c>
      <c r="I50" s="16" t="n">
        <f>UPPER(AY50)</f>
        <v>0.0</v>
      </c>
      <c r="J50" s="16" t="inlineStr">
        <is>
          <t>菅原 まゆみ [スガワラ マユミ]</t>
        </is>
      </c>
      <c r="K50" s="25" t="n">
        <f>UPPER(J50)</f>
        <v>0.0</v>
      </c>
      <c r="L50" s="25"/>
      <c r="M50" s="26" t="n">
        <f>AU50&amp;AV50&amp;AW50&amp;BD50</f>
        <v>0.0</v>
      </c>
      <c r="N50" s="27" t="n">
        <f>UPPER(M50)</f>
        <v>0.0</v>
      </c>
      <c r="O50" s="28" t="n">
        <f>MID(N50,MIN(IFERROR(FIND({0,1,2,3,4,5,6,7,8,9},N50),LEN(N50)+1)),LEN(N50))</f>
        <v>0.0</v>
      </c>
      <c r="P50" s="28" t="n">
        <f>L50&amp;" "&amp;O50</f>
        <v>0.0</v>
      </c>
      <c r="Q50" s="27" t="inlineStr">
        <is>
          <t>005-0852</t>
        </is>
      </c>
      <c r="R50" s="30" t="inlineStr">
        <is>
          <t>090-7657-3191</t>
        </is>
      </c>
      <c r="S50" s="31" t="inlineStr">
        <is>
          <t xml:space="preserve">HUI ZHOU JING SHAN GONG MAO YOU XIAN GONG SI </t>
        </is>
      </c>
      <c r="T50" s="31" t="inlineStr">
        <is>
          <t>GUANG DONG SHENG HUI ZHOU SHI HUI CHENG QU QIAO DONG JIE DAO HUI ZHOU SHI HUI ZHOU DA DAO 108 HAO</t>
        </is>
      </c>
      <c r="U50" s="32" t="inlineStr">
        <is>
          <t>C&amp;F</t>
        </is>
      </c>
      <c r="V50" s="32" t="inlineStr">
        <is>
          <t>JPY</t>
        </is>
      </c>
      <c r="W50" s="33"/>
      <c r="X50" s="34" t="n">
        <f>INT(AZ50)</f>
        <v>0.0</v>
      </c>
      <c r="Y50" s="32" t="inlineStr">
        <is>
          <t>A</t>
        </is>
      </c>
      <c r="Z50" s="32" t="inlineStr">
        <is>
          <t>JPY</t>
        </is>
      </c>
      <c r="AA50" s="32"/>
      <c r="AB50" s="32" t="inlineStr">
        <is>
          <t>CN</t>
        </is>
      </c>
      <c r="AD50" s="27" t="inlineStr">
        <is>
          <t>菅原 まゆみ [スガワラ マユミ]</t>
        </is>
      </c>
      <c r="AE50" s="7" t="n">
        <f>AU50&amp;AV50&amp;AW50&amp;BD50</f>
        <v>0.0</v>
      </c>
      <c r="AF50" s="7" t="inlineStr">
        <is>
          <t>090-7657-3191</t>
        </is>
      </c>
      <c r="AG50" s="7" t="inlineStr">
        <is>
          <t>005-0852</t>
        </is>
      </c>
      <c r="AH50" s="7" t="inlineStr">
        <is>
          <t>楽天-SUTAIRU-D</t>
        </is>
      </c>
      <c r="AI50" s="7" t="n">
        <f>BB50&amp;BC50&amp;BA50</f>
        <v>0.0</v>
      </c>
      <c r="AJ50" s="7" t="inlineStr">
        <is>
          <t xml:space="preserve"> 070-1432-7896</t>
        </is>
      </c>
      <c r="AK50" s="39" t="inlineStr">
        <is>
          <t>C</t>
        </is>
      </c>
      <c r="AL50" s="39" t="n">
        <v>1.0</v>
      </c>
      <c r="AM50" s="27" t="n">
        <f>IF(OR(ISNUMBER(SEARCH("amazon",AH50)),ISNUMBER(SEARCH("亚马逊",AH50))),"PUS001",IF(OR(ISNUMBER(SEARCH("rakuten",AH50)),ISNUMBER(SEARCH("楽天",AH50)),ISNUMBER(SEARCH("乐天",AH50))),"PJP001",IF(ISNUMBER(SEARCH("tik tok shop",AH50)),"PSG003",IF(ISNUMBER(SEARCH("temu",AH50)),"PSG001",IF(ISNUMBER(SEARCH("shein",AH50)),"JSG001",IF(OR(ISNUMBER(SEARCH("yahoo",AH50)),ISNUMBER(SEARCH("雅虎",AH50)),ISNUMBER(SEARCH("雅",AH50)),LEFT(UPPER(AH50),1)="Y"),"PJP005",IF(ISNUMBER(SEARCH("DDA JAPAN",AH50)),CHOOSE(RANDBETWEEN(1,3),"temu","PSG003","PSG001"),"JCNZZZ")))))))</f>
        <v>0.0</v>
      </c>
      <c r="AN50" s="7" t="n">
        <f>IF(ISNUMBER(SEARCH("JCNZZZ",AM50)),CHOOSE(RANDBETWEEN(1,4),"TAOBAO0","JinDdong","PingDduoDduo","ALIBABA"),"")</f>
        <v>0.0</v>
      </c>
      <c r="AU50" s="7" t="inlineStr">
        <is>
          <t>北海道</t>
        </is>
      </c>
      <c r="AV50" s="7" t="inlineStr">
        <is>
          <t>札幌市南区</t>
        </is>
      </c>
      <c r="AW50" s="7" t="inlineStr">
        <is>
          <t>常盤二条1丁目12-6-1032025-12-14(日)16:00-18:00</t>
        </is>
      </c>
      <c r="AX50" s="7" t="inlineStr">
        <is>
          <t>seal</t>
        </is>
      </c>
      <c r="AY50" s="7" t="inlineStr">
        <is>
          <t>ABS</t>
        </is>
      </c>
      <c r="AZ50" s="7" t="n">
        <v>2.0</v>
      </c>
      <c r="BA50" s="7" t="inlineStr">
        <is>
          <t xml:space="preserve"> 内本町2‐3‐8</t>
        </is>
      </c>
      <c r="BB50" s="7"/>
      <c r="BC50" s="7"/>
      <c r="BD50" s="7"/>
    </row>
    <row r="51" customHeight="true" ht="33.0">
      <c r="A51" s="13" t="inlineStr">
        <is>
          <t>DIDA</t>
        </is>
      </c>
      <c r="B51" s="14"/>
      <c r="C51" s="15" t="inlineStr">
        <is>
          <t>365027492955</t>
        </is>
      </c>
      <c r="D51" s="15" t="inlineStr">
        <is>
          <t>365027492955</t>
        </is>
      </c>
      <c r="E51" s="7" t="n">
        <v>1.0</v>
      </c>
      <c r="F51" s="11" t="n">
        <v>1.14</v>
      </c>
      <c r="G51" s="7" t="inlineStr">
        <is>
          <t>KGM</t>
        </is>
      </c>
      <c r="H51" s="16" t="n">
        <f>UPPER(AX51)</f>
        <v>0.0</v>
      </c>
      <c r="I51" s="16" t="n">
        <f>UPPER(AY51)</f>
        <v>0.0</v>
      </c>
      <c r="J51" s="16" t="inlineStr">
        <is>
          <t>天草 慈恵病院</t>
        </is>
      </c>
      <c r="K51" s="25" t="n">
        <f>UPPER(J51)</f>
        <v>0.0</v>
      </c>
      <c r="L51" s="25"/>
      <c r="M51" s="26" t="n">
        <f>AU51&amp;AV51&amp;AW51&amp;BD51</f>
        <v>0.0</v>
      </c>
      <c r="N51" s="27" t="n">
        <f>UPPER(M51)</f>
        <v>0.0</v>
      </c>
      <c r="O51" s="28" t="n">
        <f>MID(N51,MIN(IFERROR(FIND({0,1,2,3,4,5,6,7,8,9},N51),LEN(N51)+1)),LEN(N51))</f>
        <v>0.0</v>
      </c>
      <c r="P51" s="28" t="n">
        <f>L51&amp;" "&amp;O51</f>
        <v>0.0</v>
      </c>
      <c r="Q51" s="27" t="inlineStr">
        <is>
          <t>863-2502</t>
        </is>
      </c>
      <c r="R51" s="30" t="inlineStr">
        <is>
          <t>0969-37-1114</t>
        </is>
      </c>
      <c r="S51" s="31" t="inlineStr">
        <is>
          <t xml:space="preserve">HUI ZHOU JING SHAN GONG MAO YOU XIAN GONG SI </t>
        </is>
      </c>
      <c r="T51" s="31" t="inlineStr">
        <is>
          <t>GUANG DONG SHENG HUI ZHOU SHI HUI CHENG QU QIAO DONG JIE DAO HUI ZHOU SHI HUI ZHOU DA DAO 108 HAO</t>
        </is>
      </c>
      <c r="U51" s="32" t="inlineStr">
        <is>
          <t>C&amp;F</t>
        </is>
      </c>
      <c r="V51" s="32" t="inlineStr">
        <is>
          <t>JPY</t>
        </is>
      </c>
      <c r="W51" s="33"/>
      <c r="X51" s="34" t="n">
        <f>INT(AZ51)</f>
        <v>0.0</v>
      </c>
      <c r="Y51" s="32" t="inlineStr">
        <is>
          <t>A</t>
        </is>
      </c>
      <c r="Z51" s="32" t="inlineStr">
        <is>
          <t>JPY</t>
        </is>
      </c>
      <c r="AA51" s="32"/>
      <c r="AB51" s="32" t="inlineStr">
        <is>
          <t>CN</t>
        </is>
      </c>
      <c r="AD51" s="27" t="inlineStr">
        <is>
          <t>天草 慈恵病院</t>
        </is>
      </c>
      <c r="AE51" s="7" t="n">
        <f>AU51&amp;AV51&amp;AW51&amp;BD51</f>
        <v>0.0</v>
      </c>
      <c r="AF51" s="7" t="inlineStr">
        <is>
          <t>0969-37-1114</t>
        </is>
      </c>
      <c r="AG51" s="7" t="inlineStr">
        <is>
          <t>863-2502</t>
        </is>
      </c>
      <c r="AH51" s="7" t="inlineStr">
        <is>
          <t>JETMILLIO楽天市場店</t>
        </is>
      </c>
      <c r="AI51" s="7" t="n">
        <f>BB51&amp;BC51&amp;BA51</f>
        <v>0.0</v>
      </c>
      <c r="AJ51" s="7" t="inlineStr">
        <is>
          <t xml:space="preserve"> 050-3181-9787</t>
        </is>
      </c>
      <c r="AK51" s="39" t="inlineStr">
        <is>
          <t>C</t>
        </is>
      </c>
      <c r="AL51" s="39" t="n">
        <v>1.0</v>
      </c>
      <c r="AM51" s="27" t="n">
        <f>IF(OR(ISNUMBER(SEARCH("amazon",AH51)),ISNUMBER(SEARCH("亚马逊",AH51))),"PUS001",IF(OR(ISNUMBER(SEARCH("rakuten",AH51)),ISNUMBER(SEARCH("楽天",AH51)),ISNUMBER(SEARCH("乐天",AH51))),"PJP001",IF(ISNUMBER(SEARCH("tik tok shop",AH51)),"PSG003",IF(ISNUMBER(SEARCH("temu",AH51)),"PSG001",IF(ISNUMBER(SEARCH("shein",AH51)),"JSG001",IF(OR(ISNUMBER(SEARCH("yahoo",AH51)),ISNUMBER(SEARCH("雅虎",AH51)),ISNUMBER(SEARCH("雅",AH51)),LEFT(UPPER(AH51),1)="Y"),"PJP005",IF(ISNUMBER(SEARCH("DDA JAPAN",AH51)),CHOOSE(RANDBETWEEN(1,3),"temu","PSG003","PSG001"),"JCNZZZ")))))))</f>
        <v>0.0</v>
      </c>
      <c r="AN51" s="7" t="n">
        <f>IF(ISNUMBER(SEARCH("JCNZZZ",AM51)),CHOOSE(RANDBETWEEN(1,4),"TAOBAO0","JinDdong","PingDduoDduo","ALIBABA"),"")</f>
        <v>0.0</v>
      </c>
      <c r="AU51" s="7" t="inlineStr">
        <is>
          <t>熊本県</t>
        </is>
      </c>
      <c r="AV51" s="7" t="inlineStr">
        <is>
          <t>天草郡苓北町</t>
        </is>
      </c>
      <c r="AW51" s="7" t="inlineStr">
        <is>
          <t>上津深江278-10</t>
        </is>
      </c>
      <c r="AX51" s="7" t="inlineStr">
        <is>
          <t>toy</t>
        </is>
      </c>
      <c r="AY51" s="7" t="inlineStr">
        <is>
          <t>Plastic</t>
        </is>
      </c>
      <c r="AZ51" s="7" t="n">
        <v>15.0</v>
      </c>
      <c r="BA51" s="7" t="inlineStr">
        <is>
          <t xml:space="preserve"> 東京都大田区上池台３－２４－１４スターハイツ洗足池２　２０２</t>
        </is>
      </c>
      <c r="BB51" s="7"/>
      <c r="BC51" s="7"/>
      <c r="BD51" s="7"/>
    </row>
    <row r="52" customHeight="true" ht="33.0">
      <c r="A52" s="13" t="inlineStr">
        <is>
          <t>DIDA</t>
        </is>
      </c>
      <c r="B52" s="14"/>
      <c r="C52" s="15" t="inlineStr">
        <is>
          <t>365027493751</t>
        </is>
      </c>
      <c r="D52" s="15" t="inlineStr">
        <is>
          <t>365027493751</t>
        </is>
      </c>
      <c r="E52" s="7" t="n">
        <v>1.0</v>
      </c>
      <c r="F52" s="11" t="n">
        <v>2.21</v>
      </c>
      <c r="G52" s="7" t="inlineStr">
        <is>
          <t>KGM</t>
        </is>
      </c>
      <c r="H52" s="16" t="n">
        <f>UPPER(AX52)</f>
        <v>0.0</v>
      </c>
      <c r="I52" s="16" t="n">
        <f>UPPER(AY52)</f>
        <v>0.0</v>
      </c>
      <c r="J52" s="16" t="inlineStr">
        <is>
          <t>本橋 伸子 [モトハシ ノブコ]</t>
        </is>
      </c>
      <c r="K52" s="25" t="n">
        <f>UPPER(J52)</f>
        <v>0.0</v>
      </c>
      <c r="L52" s="25"/>
      <c r="M52" s="26" t="n">
        <f>AU52&amp;AV52&amp;AW52&amp;BD52</f>
        <v>0.0</v>
      </c>
      <c r="N52" s="27" t="n">
        <f>UPPER(M52)</f>
        <v>0.0</v>
      </c>
      <c r="O52" s="28" t="n">
        <f>MID(N52,MIN(IFERROR(FIND({0,1,2,3,4,5,6,7,8,9},N52),LEN(N52)+1)),LEN(N52))</f>
        <v>0.0</v>
      </c>
      <c r="P52" s="28" t="n">
        <f>L52&amp;" "&amp;O52</f>
        <v>0.0</v>
      </c>
      <c r="Q52" s="27" t="inlineStr">
        <is>
          <t>153-0044</t>
        </is>
      </c>
      <c r="R52" s="30" t="inlineStr">
        <is>
          <t>03-5738-2012</t>
        </is>
      </c>
      <c r="S52" s="31" t="inlineStr">
        <is>
          <t xml:space="preserve">HUI ZHOU JING SHAN GONG MAO YOU XIAN GONG SI </t>
        </is>
      </c>
      <c r="T52" s="31" t="inlineStr">
        <is>
          <t>GUANG DONG SHENG HUI ZHOU SHI HUI CHENG QU QIAO DONG JIE DAO HUI ZHOU SHI HUI ZHOU DA DAO 108 HAO</t>
        </is>
      </c>
      <c r="U52" s="32" t="inlineStr">
        <is>
          <t>C&amp;F</t>
        </is>
      </c>
      <c r="V52" s="32" t="inlineStr">
        <is>
          <t>JPY</t>
        </is>
      </c>
      <c r="W52" s="33"/>
      <c r="X52" s="34" t="n">
        <f>INT(AZ52)</f>
        <v>0.0</v>
      </c>
      <c r="Y52" s="32" t="inlineStr">
        <is>
          <t>A</t>
        </is>
      </c>
      <c r="Z52" s="32" t="inlineStr">
        <is>
          <t>JPY</t>
        </is>
      </c>
      <c r="AA52" s="32"/>
      <c r="AB52" s="32" t="inlineStr">
        <is>
          <t>CN</t>
        </is>
      </c>
      <c r="AD52" s="27" t="inlineStr">
        <is>
          <t>本橋 伸子 [モトハシ ノブコ]</t>
        </is>
      </c>
      <c r="AE52" s="7" t="n">
        <f>AU52&amp;AV52&amp;AW52&amp;BD52</f>
        <v>0.0</v>
      </c>
      <c r="AF52" s="7" t="inlineStr">
        <is>
          <t>03-5738-2012</t>
        </is>
      </c>
      <c r="AG52" s="7" t="inlineStr">
        <is>
          <t>153-0044</t>
        </is>
      </c>
      <c r="AH52" s="7" t="inlineStr">
        <is>
          <t>楽天-和心-H</t>
        </is>
      </c>
      <c r="AI52" s="7" t="n">
        <f>BB52&amp;BC52&amp;BA52</f>
        <v>0.0</v>
      </c>
      <c r="AJ52" s="7" t="inlineStr">
        <is>
          <t xml:space="preserve"> 05030919965</t>
        </is>
      </c>
      <c r="AK52" s="39" t="inlineStr">
        <is>
          <t>C</t>
        </is>
      </c>
      <c r="AL52" s="39" t="n">
        <v>1.0</v>
      </c>
      <c r="AM52" s="27" t="n">
        <f>IF(OR(ISNUMBER(SEARCH("amazon",AH52)),ISNUMBER(SEARCH("亚马逊",AH52))),"PUS001",IF(OR(ISNUMBER(SEARCH("rakuten",AH52)),ISNUMBER(SEARCH("楽天",AH52)),ISNUMBER(SEARCH("乐天",AH52))),"PJP001",IF(ISNUMBER(SEARCH("tik tok shop",AH52)),"PSG003",IF(ISNUMBER(SEARCH("temu",AH52)),"PSG001",IF(ISNUMBER(SEARCH("shein",AH52)),"JSG001",IF(OR(ISNUMBER(SEARCH("yahoo",AH52)),ISNUMBER(SEARCH("雅虎",AH52)),ISNUMBER(SEARCH("雅",AH52)),LEFT(UPPER(AH52),1)="Y"),"PJP005",IF(ISNUMBER(SEARCH("DDA JAPAN",AH52)),CHOOSE(RANDBETWEEN(1,3),"temu","PSG003","PSG001"),"JCNZZZ")))))))</f>
        <v>0.0</v>
      </c>
      <c r="AN52" s="7" t="n">
        <f>IF(ISNUMBER(SEARCH("JCNZZZ",AM52)),CHOOSE(RANDBETWEEN(1,4),"TAOBAO0","JinDdong","PingDduoDduo","ALIBABA"),"")</f>
        <v>0.0</v>
      </c>
      <c r="AU52" s="7" t="inlineStr">
        <is>
          <t>東京都</t>
        </is>
      </c>
      <c r="AV52" s="7" t="inlineStr">
        <is>
          <t>目黒区</t>
        </is>
      </c>
      <c r="AW52" s="7" t="inlineStr">
        <is>
          <t>大橋2-2-3-504（午前中配達希望）</t>
        </is>
      </c>
      <c r="AX52" s="7" t="inlineStr">
        <is>
          <t>Warm Fan</t>
        </is>
      </c>
      <c r="AY52" s="7" t="inlineStr">
        <is>
          <t>ABS</t>
        </is>
      </c>
      <c r="AZ52" s="7" t="n">
        <v>15.0</v>
      </c>
      <c r="BA52" s="7" t="inlineStr">
        <is>
          <t xml:space="preserve"> 東京都稲城市平尾１－１４－１７</t>
        </is>
      </c>
      <c r="BB52" s="7"/>
      <c r="BC52" s="7"/>
      <c r="BD52" s="7"/>
    </row>
    <row r="53" customHeight="true" ht="33.0">
      <c r="A53" s="13" t="inlineStr">
        <is>
          <t>DIDA</t>
        </is>
      </c>
      <c r="B53" s="14"/>
      <c r="C53" s="15" t="inlineStr">
        <is>
          <t>365027490855</t>
        </is>
      </c>
      <c r="D53" s="15" t="inlineStr">
        <is>
          <t>365027490855</t>
        </is>
      </c>
      <c r="E53" s="7" t="n">
        <v>1.0</v>
      </c>
      <c r="F53" s="11" t="n">
        <v>2.34</v>
      </c>
      <c r="G53" s="7" t="inlineStr">
        <is>
          <t>KGM</t>
        </is>
      </c>
      <c r="H53" s="16" t="n">
        <f>UPPER(AX53)</f>
        <v>0.0</v>
      </c>
      <c r="I53" s="16" t="n">
        <f>UPPER(AY53)</f>
        <v>0.0</v>
      </c>
      <c r="J53" s="16" t="inlineStr">
        <is>
          <t>高根沢 一也</t>
        </is>
      </c>
      <c r="K53" s="25" t="n">
        <f>UPPER(J53)</f>
        <v>0.0</v>
      </c>
      <c r="L53" s="25"/>
      <c r="M53" s="26" t="n">
        <f>AU53&amp;AV53&amp;AW53&amp;BD53</f>
        <v>0.0</v>
      </c>
      <c r="N53" s="27" t="n">
        <f>UPPER(M53)</f>
        <v>0.0</v>
      </c>
      <c r="O53" s="28" t="n">
        <f>MID(N53,MIN(IFERROR(FIND({0,1,2,3,4,5,6,7,8,9},N53),LEN(N53)+1)),LEN(N53))</f>
        <v>0.0</v>
      </c>
      <c r="P53" s="28" t="n">
        <f>L53&amp;" "&amp;O53</f>
        <v>0.0</v>
      </c>
      <c r="Q53" s="27" t="inlineStr">
        <is>
          <t>160-0021</t>
        </is>
      </c>
      <c r="R53" s="30" t="inlineStr">
        <is>
          <t>03-6273-8641</t>
        </is>
      </c>
      <c r="S53" s="31" t="inlineStr">
        <is>
          <t xml:space="preserve">HUI ZHOU JING SHAN GONG MAO YOU XIAN GONG SI </t>
        </is>
      </c>
      <c r="T53" s="31" t="inlineStr">
        <is>
          <t>GUANG DONG SHENG HUI ZHOU SHI HUI CHENG QU QIAO DONG JIE DAO HUI ZHOU SHI HUI ZHOU DA DAO 108 HAO</t>
        </is>
      </c>
      <c r="U53" s="32" t="inlineStr">
        <is>
          <t>C&amp;F</t>
        </is>
      </c>
      <c r="V53" s="32" t="inlineStr">
        <is>
          <t>JPY</t>
        </is>
      </c>
      <c r="W53" s="33"/>
      <c r="X53" s="34" t="n">
        <f>INT(AZ53)</f>
        <v>0.0</v>
      </c>
      <c r="Y53" s="32" t="inlineStr">
        <is>
          <t>A</t>
        </is>
      </c>
      <c r="Z53" s="32" t="inlineStr">
        <is>
          <t>JPY</t>
        </is>
      </c>
      <c r="AA53" s="32"/>
      <c r="AB53" s="32" t="inlineStr">
        <is>
          <t>CN</t>
        </is>
      </c>
      <c r="AD53" s="27" t="inlineStr">
        <is>
          <t>高根沢 一也</t>
        </is>
      </c>
      <c r="AE53" s="7" t="n">
        <f>AU53&amp;AV53&amp;AW53&amp;BD53</f>
        <v>0.0</v>
      </c>
      <c r="AF53" s="7" t="inlineStr">
        <is>
          <t>03-6273-8641</t>
        </is>
      </c>
      <c r="AG53" s="7" t="inlineStr">
        <is>
          <t>160-0021</t>
        </is>
      </c>
      <c r="AH53" s="7" t="inlineStr">
        <is>
          <t>ラッキーストライク</t>
        </is>
      </c>
      <c r="AI53" s="7" t="n">
        <f>BB53&amp;BC53&amp;BA53</f>
        <v>0.0</v>
      </c>
      <c r="AJ53" s="7" t="inlineStr">
        <is>
          <t xml:space="preserve"> 05030911547</t>
        </is>
      </c>
      <c r="AK53" s="39" t="inlineStr">
        <is>
          <t>C</t>
        </is>
      </c>
      <c r="AL53" s="39" t="n">
        <v>1.0</v>
      </c>
      <c r="AM53" s="27" t="n">
        <f>IF(OR(ISNUMBER(SEARCH("amazon",AH53)),ISNUMBER(SEARCH("亚马逊",AH53))),"PUS001",IF(OR(ISNUMBER(SEARCH("rakuten",AH53)),ISNUMBER(SEARCH("楽天",AH53)),ISNUMBER(SEARCH("乐天",AH53))),"PJP001",IF(ISNUMBER(SEARCH("tik tok shop",AH53)),"PSG003",IF(ISNUMBER(SEARCH("temu",AH53)),"PSG001",IF(ISNUMBER(SEARCH("shein",AH53)),"JSG001",IF(OR(ISNUMBER(SEARCH("yahoo",AH53)),ISNUMBER(SEARCH("雅虎",AH53)),ISNUMBER(SEARCH("雅",AH53)),LEFT(UPPER(AH53),1)="Y"),"PJP005",IF(ISNUMBER(SEARCH("DDA JAPAN",AH53)),CHOOSE(RANDBETWEEN(1,3),"temu","PSG003","PSG001"),"JCNZZZ")))))))</f>
        <v>0.0</v>
      </c>
      <c r="AN53" s="7" t="n">
        <f>IF(ISNUMBER(SEARCH("JCNZZZ",AM53)),CHOOSE(RANDBETWEEN(1,4),"TAOBAO0","JinDdong","PingDduoDduo","ALIBABA"),"")</f>
        <v>0.0</v>
      </c>
      <c r="AU53" s="7" t="inlineStr">
        <is>
          <t>東京都</t>
        </is>
      </c>
      <c r="AV53" s="7" t="inlineStr">
        <is>
          <t>新宿区</t>
        </is>
      </c>
      <c r="AW53" s="7" t="inlineStr">
        <is>
          <t>歌舞伎町1-28-3 TOMOビル3F</t>
        </is>
      </c>
      <c r="AX53" s="7" t="inlineStr">
        <is>
          <t>Ornaments</t>
        </is>
      </c>
      <c r="AY53" s="7" t="inlineStr">
        <is>
          <t>ceramics</t>
        </is>
      </c>
      <c r="AZ53" s="7" t="n">
        <v>12.0</v>
      </c>
      <c r="BA53" s="7" t="inlineStr">
        <is>
          <t xml:space="preserve"> 東京都西多摩郡奥多摩町留浦１０１８</t>
        </is>
      </c>
      <c r="BB53" s="7"/>
      <c r="BC53" s="7"/>
      <c r="BD53" s="7"/>
    </row>
    <row r="54" customHeight="true" ht="33.0">
      <c r="A54" s="13" t="inlineStr">
        <is>
          <t>DIDA</t>
        </is>
      </c>
      <c r="B54" s="14"/>
      <c r="C54" s="15" t="inlineStr">
        <is>
          <t>365027493434</t>
        </is>
      </c>
      <c r="D54" s="15" t="inlineStr">
        <is>
          <t>365027493434</t>
        </is>
      </c>
      <c r="E54" s="7" t="n">
        <v>1.0</v>
      </c>
      <c r="F54" s="11" t="n">
        <v>2.22</v>
      </c>
      <c r="G54" s="7" t="inlineStr">
        <is>
          <t>KGM</t>
        </is>
      </c>
      <c r="H54" s="16" t="n">
        <f>UPPER(AX54)</f>
        <v>0.0</v>
      </c>
      <c r="I54" s="16" t="n">
        <f>UPPER(AY54)</f>
        <v>0.0</v>
      </c>
      <c r="J54" s="16" t="inlineStr">
        <is>
          <t>吉川 富子 [ヨシカワ ヒサコ]</t>
        </is>
      </c>
      <c r="K54" s="25" t="n">
        <f>UPPER(J54)</f>
        <v>0.0</v>
      </c>
      <c r="L54" s="25"/>
      <c r="M54" s="26" t="n">
        <f>AU54&amp;AV54&amp;AW54&amp;BD54</f>
        <v>0.0</v>
      </c>
      <c r="N54" s="27" t="n">
        <f>UPPER(M54)</f>
        <v>0.0</v>
      </c>
      <c r="O54" s="28" t="n">
        <f>MID(N54,MIN(IFERROR(FIND({0,1,2,3,4,5,6,7,8,9},N54),LEN(N54)+1)),LEN(N54))</f>
        <v>0.0</v>
      </c>
      <c r="P54" s="28" t="n">
        <f>L54&amp;" "&amp;O54</f>
        <v>0.0</v>
      </c>
      <c r="Q54" s="27" t="inlineStr">
        <is>
          <t>060-0033</t>
        </is>
      </c>
      <c r="R54" s="30" t="inlineStr">
        <is>
          <t>090-2284-0135</t>
        </is>
      </c>
      <c r="S54" s="31" t="inlineStr">
        <is>
          <t xml:space="preserve">HUI ZHOU JING SHAN GONG MAO YOU XIAN GONG SI </t>
        </is>
      </c>
      <c r="T54" s="31" t="inlineStr">
        <is>
          <t>GUANG DONG SHENG HUI ZHOU SHI HUI CHENG QU QIAO DONG JIE DAO HUI ZHOU SHI HUI ZHOU DA DAO 108 HAO</t>
        </is>
      </c>
      <c r="U54" s="32" t="inlineStr">
        <is>
          <t>C&amp;F</t>
        </is>
      </c>
      <c r="V54" s="32" t="inlineStr">
        <is>
          <t>JPY</t>
        </is>
      </c>
      <c r="W54" s="33"/>
      <c r="X54" s="34" t="n">
        <f>INT(AZ54)</f>
        <v>0.0</v>
      </c>
      <c r="Y54" s="32" t="inlineStr">
        <is>
          <t>A</t>
        </is>
      </c>
      <c r="Z54" s="32" t="inlineStr">
        <is>
          <t>JPY</t>
        </is>
      </c>
      <c r="AA54" s="32"/>
      <c r="AB54" s="32" t="inlineStr">
        <is>
          <t>CN</t>
        </is>
      </c>
      <c r="AD54" s="27" t="inlineStr">
        <is>
          <t>吉川 富子 [ヨシカワ ヒサコ]</t>
        </is>
      </c>
      <c r="AE54" s="7" t="n">
        <f>AU54&amp;AV54&amp;AW54&amp;BD54</f>
        <v>0.0</v>
      </c>
      <c r="AF54" s="7" t="inlineStr">
        <is>
          <t>090-2284-0135</t>
        </is>
      </c>
      <c r="AG54" s="7" t="inlineStr">
        <is>
          <t>060-0033</t>
        </is>
      </c>
      <c r="AH54" s="7" t="inlineStr">
        <is>
          <t>楽天-eightyone-H</t>
        </is>
      </c>
      <c r="AI54" s="7" t="n">
        <f>BB54&amp;BC54&amp;BA54</f>
        <v>0.0</v>
      </c>
      <c r="AJ54" s="7" t="inlineStr">
        <is>
          <t xml:space="preserve"> 036-161-6083</t>
        </is>
      </c>
      <c r="AK54" s="39" t="inlineStr">
        <is>
          <t>C</t>
        </is>
      </c>
      <c r="AL54" s="39" t="n">
        <v>1.0</v>
      </c>
      <c r="AM54" s="27" t="n">
        <f>IF(OR(ISNUMBER(SEARCH("amazon",AH54)),ISNUMBER(SEARCH("亚马逊",AH54))),"PUS001",IF(OR(ISNUMBER(SEARCH("rakuten",AH54)),ISNUMBER(SEARCH("楽天",AH54)),ISNUMBER(SEARCH("乐天",AH54))),"PJP001",IF(ISNUMBER(SEARCH("tik tok shop",AH54)),"PSG003",IF(ISNUMBER(SEARCH("temu",AH54)),"PSG001",IF(ISNUMBER(SEARCH("shein",AH54)),"JSG001",IF(OR(ISNUMBER(SEARCH("yahoo",AH54)),ISNUMBER(SEARCH("雅虎",AH54)),ISNUMBER(SEARCH("雅",AH54)),LEFT(UPPER(AH54),1)="Y"),"PJP005",IF(ISNUMBER(SEARCH("DDA JAPAN",AH54)),CHOOSE(RANDBETWEEN(1,3),"temu","PSG003","PSG001"),"JCNZZZ")))))))</f>
        <v>0.0</v>
      </c>
      <c r="AN54" s="7" t="n">
        <f>IF(ISNUMBER(SEARCH("JCNZZZ",AM54)),CHOOSE(RANDBETWEEN(1,4),"TAOBAO0","JinDdong","PingDduoDduo","ALIBABA"),"")</f>
        <v>0.0</v>
      </c>
      <c r="AU54" s="7" t="inlineStr">
        <is>
          <t>北海道</t>
        </is>
      </c>
      <c r="AV54" s="7" t="inlineStr">
        <is>
          <t>札幌市中央区</t>
        </is>
      </c>
      <c r="AW54" s="7" t="inlineStr">
        <is>
          <t>北三条東11丁目338 プレミストタワーズ札幌苗穂AQUAGATE 2403（12:00-14:00配達希望）</t>
        </is>
      </c>
      <c r="AX54" s="7" t="inlineStr">
        <is>
          <t>Makeup Mirror</t>
        </is>
      </c>
      <c r="AY54" s="7" t="inlineStr">
        <is>
          <t>Glass</t>
        </is>
      </c>
      <c r="AZ54" s="7" t="n">
        <v>16.4</v>
      </c>
      <c r="BA54" s="7" t="inlineStr">
        <is>
          <t xml:space="preserve"> 東京都品川区平塚1-13-1</t>
        </is>
      </c>
      <c r="BB54" s="7"/>
      <c r="BC54" s="7"/>
      <c r="BD54" s="7"/>
    </row>
    <row r="55" customHeight="true" ht="33.0">
      <c r="A55" s="13" t="inlineStr">
        <is>
          <t>DIDA</t>
        </is>
      </c>
      <c r="B55" s="14"/>
      <c r="C55" s="15" t="inlineStr">
        <is>
          <t>365027492885</t>
        </is>
      </c>
      <c r="D55" s="15" t="inlineStr">
        <is>
          <t>365027492885</t>
        </is>
      </c>
      <c r="E55" s="7" t="n">
        <v>1.0</v>
      </c>
      <c r="F55" s="11" t="n">
        <v>0.73</v>
      </c>
      <c r="G55" s="7" t="inlineStr">
        <is>
          <t>KGM</t>
        </is>
      </c>
      <c r="H55" s="16" t="n">
        <f>UPPER(AX55)</f>
        <v>0.0</v>
      </c>
      <c r="I55" s="16" t="n">
        <f>UPPER(AY55)</f>
        <v>0.0</v>
      </c>
      <c r="J55" s="16" t="inlineStr">
        <is>
          <t>林 恵利</t>
        </is>
      </c>
      <c r="K55" s="25" t="n">
        <f>UPPER(J55)</f>
        <v>0.0</v>
      </c>
      <c r="L55" s="25"/>
      <c r="M55" s="26" t="n">
        <f>AU55&amp;AV55&amp;AW55&amp;BD55</f>
        <v>0.0</v>
      </c>
      <c r="N55" s="27" t="n">
        <f>UPPER(M55)</f>
        <v>0.0</v>
      </c>
      <c r="O55" s="28" t="n">
        <f>MID(N55,MIN(IFERROR(FIND({0,1,2,3,4,5,6,7,8,9},N55),LEN(N55)+1)),LEN(N55))</f>
        <v>0.0</v>
      </c>
      <c r="P55" s="28" t="n">
        <f>L55&amp;" "&amp;O55</f>
        <v>0.0</v>
      </c>
      <c r="Q55" s="27" t="inlineStr">
        <is>
          <t>152-0013</t>
        </is>
      </c>
      <c r="R55" s="30" t="inlineStr">
        <is>
          <t>090-2129-0540</t>
        </is>
      </c>
      <c r="S55" s="31" t="inlineStr">
        <is>
          <t xml:space="preserve">HUI ZHOU JING SHAN GONG MAO YOU XIAN GONG SI </t>
        </is>
      </c>
      <c r="T55" s="31" t="inlineStr">
        <is>
          <t>GUANG DONG SHENG HUI ZHOU SHI HUI CHENG QU QIAO DONG JIE DAO HUI ZHOU SHI HUI ZHOU DA DAO 108 HAO</t>
        </is>
      </c>
      <c r="U55" s="32" t="inlineStr">
        <is>
          <t>C&amp;F</t>
        </is>
      </c>
      <c r="V55" s="32" t="inlineStr">
        <is>
          <t>JPY</t>
        </is>
      </c>
      <c r="W55" s="33"/>
      <c r="X55" s="34" t="n">
        <f>INT(AZ55)</f>
        <v>0.0</v>
      </c>
      <c r="Y55" s="32" t="inlineStr">
        <is>
          <t>A</t>
        </is>
      </c>
      <c r="Z55" s="32" t="inlineStr">
        <is>
          <t>JPY</t>
        </is>
      </c>
      <c r="AA55" s="32"/>
      <c r="AB55" s="32" t="inlineStr">
        <is>
          <t>CN</t>
        </is>
      </c>
      <c r="AD55" s="27" t="inlineStr">
        <is>
          <t>林 恵利</t>
        </is>
      </c>
      <c r="AE55" s="7" t="n">
        <f>AU55&amp;AV55&amp;AW55&amp;BD55</f>
        <v>0.0</v>
      </c>
      <c r="AF55" s="7" t="inlineStr">
        <is>
          <t>090-2129-0540</t>
        </is>
      </c>
      <c r="AG55" s="7" t="inlineStr">
        <is>
          <t>152-0013</t>
        </is>
      </c>
      <c r="AH55" s="7" t="inlineStr">
        <is>
          <t>ラッキーストライク</t>
        </is>
      </c>
      <c r="AI55" s="7" t="n">
        <f>BB55&amp;BC55&amp;BA55</f>
        <v>0.0</v>
      </c>
      <c r="AJ55" s="7" t="inlineStr">
        <is>
          <t xml:space="preserve"> 05030911547</t>
        </is>
      </c>
      <c r="AK55" s="39" t="inlineStr">
        <is>
          <t>C</t>
        </is>
      </c>
      <c r="AL55" s="39" t="n">
        <v>1.0</v>
      </c>
      <c r="AM55" s="27" t="n">
        <f>IF(OR(ISNUMBER(SEARCH("amazon",AH55)),ISNUMBER(SEARCH("亚马逊",AH55))),"PUS001",IF(OR(ISNUMBER(SEARCH("rakuten",AH55)),ISNUMBER(SEARCH("楽天",AH55)),ISNUMBER(SEARCH("乐天",AH55))),"PJP001",IF(ISNUMBER(SEARCH("tik tok shop",AH55)),"PSG003",IF(ISNUMBER(SEARCH("temu",AH55)),"PSG001",IF(ISNUMBER(SEARCH("shein",AH55)),"JSG001",IF(OR(ISNUMBER(SEARCH("yahoo",AH55)),ISNUMBER(SEARCH("雅虎",AH55)),ISNUMBER(SEARCH("雅",AH55)),LEFT(UPPER(AH55),1)="Y"),"PJP005",IF(ISNUMBER(SEARCH("DDA JAPAN",AH55)),CHOOSE(RANDBETWEEN(1,3),"temu","PSG003","PSG001"),"JCNZZZ")))))))</f>
        <v>0.0</v>
      </c>
      <c r="AN55" s="7" t="n">
        <f>IF(ISNUMBER(SEARCH("JCNZZZ",AM55)),CHOOSE(RANDBETWEEN(1,4),"TAOBAO0","JinDdong","PingDduoDduo","ALIBABA"),"")</f>
        <v>0.0</v>
      </c>
      <c r="AU55" s="7" t="inlineStr">
        <is>
          <t>東京都</t>
        </is>
      </c>
      <c r="AV55" s="7" t="inlineStr">
        <is>
          <t>目黒区</t>
        </is>
      </c>
      <c r="AW55" s="7" t="inlineStr">
        <is>
          <t>南2-8-17-156</t>
        </is>
      </c>
      <c r="AX55" s="7" t="inlineStr">
        <is>
          <t>Track toys</t>
        </is>
      </c>
      <c r="AY55" s="7" t="inlineStr">
        <is>
          <t>ABS</t>
        </is>
      </c>
      <c r="AZ55" s="7" t="n">
        <v>12.0</v>
      </c>
      <c r="BA55" s="7" t="inlineStr">
        <is>
          <t xml:space="preserve"> 東京都西多摩郡奥多摩町留浦１０１８</t>
        </is>
      </c>
      <c r="BB55" s="7"/>
      <c r="BC55" s="7"/>
      <c r="BD55" s="7"/>
    </row>
    <row r="56" customHeight="true" ht="33.0">
      <c r="A56" s="13" t="inlineStr">
        <is>
          <t>DIDA</t>
        </is>
      </c>
      <c r="B56" s="14"/>
      <c r="C56" s="15" t="inlineStr">
        <is>
          <t>365027473311</t>
        </is>
      </c>
      <c r="D56" s="15" t="inlineStr">
        <is>
          <t>365027473311</t>
        </is>
      </c>
      <c r="E56" s="7" t="n">
        <v>1.0</v>
      </c>
      <c r="F56" s="11" t="n">
        <v>2.18</v>
      </c>
      <c r="G56" s="7" t="inlineStr">
        <is>
          <t>KGM</t>
        </is>
      </c>
      <c r="H56" s="16" t="n">
        <f>UPPER(AX56)</f>
        <v>0.0</v>
      </c>
      <c r="I56" s="16" t="n">
        <f>UPPER(AY56)</f>
        <v>0.0</v>
      </c>
      <c r="J56" s="16" t="inlineStr">
        <is>
          <t>翔 浜田</t>
        </is>
      </c>
      <c r="K56" s="25" t="n">
        <f>UPPER(J56)</f>
        <v>0.0</v>
      </c>
      <c r="L56" s="25"/>
      <c r="M56" s="26" t="n">
        <f>AU56&amp;AV56&amp;AW56&amp;BD56</f>
        <v>0.0</v>
      </c>
      <c r="N56" s="27" t="n">
        <f>UPPER(M56)</f>
        <v>0.0</v>
      </c>
      <c r="O56" s="28" t="n">
        <f>MID(N56,MIN(IFERROR(FIND({0,1,2,3,4,5,6,7,8,9},N56),LEN(N56)+1)),LEN(N56))</f>
        <v>0.0</v>
      </c>
      <c r="P56" s="28" t="n">
        <f>L56&amp;" "&amp;O56</f>
        <v>0.0</v>
      </c>
      <c r="Q56" s="27" t="inlineStr">
        <is>
          <t>359-1151</t>
        </is>
      </c>
      <c r="R56" s="30" t="inlineStr">
        <is>
          <t>9067078729</t>
        </is>
      </c>
      <c r="S56" s="31" t="inlineStr">
        <is>
          <t xml:space="preserve">HUI ZHOU JING SHAN GONG MAO YOU XIAN GONG SI </t>
        </is>
      </c>
      <c r="T56" s="31" t="inlineStr">
        <is>
          <t>GUANG DONG SHENG HUI ZHOU SHI HUI CHENG QU QIAO DONG JIE DAO HUI ZHOU SHI HUI ZHOU DA DAO 108 HAO</t>
        </is>
      </c>
      <c r="U56" s="32" t="inlineStr">
        <is>
          <t>C&amp;F</t>
        </is>
      </c>
      <c r="V56" s="32" t="inlineStr">
        <is>
          <t>JPY</t>
        </is>
      </c>
      <c r="W56" s="33"/>
      <c r="X56" s="34" t="n">
        <f>INT(AZ56)</f>
        <v>0.0</v>
      </c>
      <c r="Y56" s="32" t="inlineStr">
        <is>
          <t>A</t>
        </is>
      </c>
      <c r="Z56" s="32" t="inlineStr">
        <is>
          <t>JPY</t>
        </is>
      </c>
      <c r="AA56" s="32"/>
      <c r="AB56" s="32" t="inlineStr">
        <is>
          <t>CN</t>
        </is>
      </c>
      <c r="AD56" s="27" t="inlineStr">
        <is>
          <t>翔 浜田</t>
        </is>
      </c>
      <c r="AE56" s="7" t="n">
        <f>AU56&amp;AV56&amp;AW56&amp;BD56</f>
        <v>0.0</v>
      </c>
      <c r="AF56" s="7" t="inlineStr">
        <is>
          <t>9067078729</t>
        </is>
      </c>
      <c r="AG56" s="7" t="inlineStr">
        <is>
          <t>359-1151</t>
        </is>
      </c>
      <c r="AH56" s="7"/>
      <c r="AI56" s="7" t="n">
        <f>BB56&amp;BC56&amp;BA56</f>
        <v>0.0</v>
      </c>
      <c r="AJ56" s="7" t="inlineStr">
        <is>
          <t xml:space="preserve"> </t>
        </is>
      </c>
      <c r="AK56" s="39" t="inlineStr">
        <is>
          <t>C</t>
        </is>
      </c>
      <c r="AL56" s="39" t="n">
        <v>1.0</v>
      </c>
      <c r="AM56" s="27" t="n">
        <f>IF(OR(ISNUMBER(SEARCH("amazon",AH56)),ISNUMBER(SEARCH("亚马逊",AH56))),"PUS001",IF(OR(ISNUMBER(SEARCH("rakuten",AH56)),ISNUMBER(SEARCH("楽天",AH56)),ISNUMBER(SEARCH("乐天",AH56))),"PJP001",IF(ISNUMBER(SEARCH("tik tok shop",AH56)),"PSG003",IF(ISNUMBER(SEARCH("temu",AH56)),"PSG001",IF(ISNUMBER(SEARCH("shein",AH56)),"JSG001",IF(OR(ISNUMBER(SEARCH("yahoo",AH56)),ISNUMBER(SEARCH("雅虎",AH56)),ISNUMBER(SEARCH("雅",AH56)),LEFT(UPPER(AH56),1)="Y"),"PJP005",IF(ISNUMBER(SEARCH("DDA JAPAN",AH56)),CHOOSE(RANDBETWEEN(1,3),"temu","PSG003","PSG001"),"JCNZZZ")))))))</f>
        <v>0.0</v>
      </c>
      <c r="AN56" s="7" t="n">
        <f>IF(ISNUMBER(SEARCH("JCNZZZ",AM56)),CHOOSE(RANDBETWEEN(1,4),"TAOBAO0","JinDdong","PingDduoDduo","ALIBABA"),"")</f>
        <v>0.0</v>
      </c>
      <c r="AU56" s="7"/>
      <c r="AV56" s="7"/>
      <c r="AW56" s="7" t="inlineStr">
        <is>
          <t>埼玉県所沢市若狭4-867-6</t>
        </is>
      </c>
      <c r="AX56" s="7" t="inlineStr">
        <is>
          <t>plastic toys</t>
        </is>
      </c>
      <c r="AY56" s="7" t="inlineStr">
        <is>
          <t>ABS</t>
        </is>
      </c>
      <c r="AZ56" s="7" t="n">
        <v>12.8</v>
      </c>
      <c r="BA56" s="7" t="inlineStr">
        <is>
          <t xml:space="preserve"> </t>
        </is>
      </c>
      <c r="BB56" s="7"/>
      <c r="BC56" s="7"/>
      <c r="BD56" s="7"/>
    </row>
    <row r="57" customHeight="true" ht="33.0">
      <c r="A57" s="13" t="inlineStr">
        <is>
          <t>DIDA</t>
        </is>
      </c>
      <c r="B57" s="14"/>
      <c r="C57" s="15" t="inlineStr">
        <is>
          <t>365027472132</t>
        </is>
      </c>
      <c r="D57" s="15" t="inlineStr">
        <is>
          <t>365027472132</t>
        </is>
      </c>
      <c r="E57" s="7" t="n">
        <v>1.0</v>
      </c>
      <c r="F57" s="11" t="n">
        <v>2.78</v>
      </c>
      <c r="G57" s="7" t="inlineStr">
        <is>
          <t>KGM</t>
        </is>
      </c>
      <c r="H57" s="16" t="n">
        <f>UPPER(AX57)</f>
        <v>0.0</v>
      </c>
      <c r="I57" s="16" t="n">
        <f>UPPER(AY57)</f>
        <v>0.0</v>
      </c>
      <c r="J57" s="16" t="inlineStr">
        <is>
          <t>Zhang li kun</t>
        </is>
      </c>
      <c r="K57" s="25" t="n">
        <f>UPPER(J57)</f>
        <v>0.0</v>
      </c>
      <c r="L57" s="25"/>
      <c r="M57" s="26" t="n">
        <f>AU57&amp;AV57&amp;AW57&amp;BD57</f>
        <v>0.0</v>
      </c>
      <c r="N57" s="27" t="n">
        <f>UPPER(M57)</f>
        <v>0.0</v>
      </c>
      <c r="O57" s="28" t="n">
        <f>MID(N57,MIN(IFERROR(FIND({0,1,2,3,4,5,6,7,8,9},N57),LEN(N57)+1)),LEN(N57))</f>
        <v>0.0</v>
      </c>
      <c r="P57" s="28" t="n">
        <f>L57&amp;" "&amp;O57</f>
        <v>0.0</v>
      </c>
      <c r="Q57" s="27" t="inlineStr">
        <is>
          <t>101-0025</t>
        </is>
      </c>
      <c r="R57" s="30" t="inlineStr">
        <is>
          <t>03-3253-5811</t>
        </is>
      </c>
      <c r="S57" s="31" t="inlineStr">
        <is>
          <t xml:space="preserve">HUI ZHOU JING SHAN GONG MAO YOU XIAN GONG SI </t>
        </is>
      </c>
      <c r="T57" s="31" t="inlineStr">
        <is>
          <t>GUANG DONG SHENG HUI ZHOU SHI HUI CHENG QU QIAO DONG JIE DAO HUI ZHOU SHI HUI ZHOU DA DAO 108 HAO</t>
        </is>
      </c>
      <c r="U57" s="32" t="inlineStr">
        <is>
          <t>C&amp;F</t>
        </is>
      </c>
      <c r="V57" s="32" t="inlineStr">
        <is>
          <t>JPY</t>
        </is>
      </c>
      <c r="W57" s="33"/>
      <c r="X57" s="34" t="n">
        <f>INT(AZ57)</f>
        <v>0.0</v>
      </c>
      <c r="Y57" s="32" t="inlineStr">
        <is>
          <t>A</t>
        </is>
      </c>
      <c r="Z57" s="32" t="inlineStr">
        <is>
          <t>JPY</t>
        </is>
      </c>
      <c r="AA57" s="32"/>
      <c r="AB57" s="32" t="inlineStr">
        <is>
          <t>CN</t>
        </is>
      </c>
      <c r="AD57" s="27" t="inlineStr">
        <is>
          <t>Zhang li kun</t>
        </is>
      </c>
      <c r="AE57" s="7" t="n">
        <f>AU57&amp;AV57&amp;AW57&amp;BD57</f>
        <v>0.0</v>
      </c>
      <c r="AF57" s="7" t="inlineStr">
        <is>
          <t>03-3253-5811</t>
        </is>
      </c>
      <c r="AG57" s="7" t="inlineStr">
        <is>
          <t>101-0025</t>
        </is>
      </c>
      <c r="AH57" s="7"/>
      <c r="AI57" s="7" t="n">
        <f>BB57&amp;BC57&amp;BA57</f>
        <v>0.0</v>
      </c>
      <c r="AJ57" s="7" t="inlineStr">
        <is>
          <t xml:space="preserve"> </t>
        </is>
      </c>
      <c r="AK57" s="39" t="inlineStr">
        <is>
          <t>C</t>
        </is>
      </c>
      <c r="AL57" s="39" t="n">
        <v>1.0</v>
      </c>
      <c r="AM57" s="27" t="n">
        <f>IF(OR(ISNUMBER(SEARCH("amazon",AH57)),ISNUMBER(SEARCH("亚马逊",AH57))),"PUS001",IF(OR(ISNUMBER(SEARCH("rakuten",AH57)),ISNUMBER(SEARCH("楽天",AH57)),ISNUMBER(SEARCH("乐天",AH57))),"PJP001",IF(ISNUMBER(SEARCH("tik tok shop",AH57)),"PSG003",IF(ISNUMBER(SEARCH("temu",AH57)),"PSG001",IF(ISNUMBER(SEARCH("shein",AH57)),"JSG001",IF(OR(ISNUMBER(SEARCH("yahoo",AH57)),ISNUMBER(SEARCH("雅虎",AH57)),ISNUMBER(SEARCH("雅",AH57)),LEFT(UPPER(AH57),1)="Y"),"PJP005",IF(ISNUMBER(SEARCH("DDA JAPAN",AH57)),CHOOSE(RANDBETWEEN(1,3),"temu","PSG003","PSG001"),"JCNZZZ")))))))</f>
        <v>0.0</v>
      </c>
      <c r="AN57" s="7" t="n">
        <f>IF(ISNUMBER(SEARCH("JCNZZZ",AM57)),CHOOSE(RANDBETWEEN(1,4),"TAOBAO0","JinDdong","PingDduoDduo","ALIBABA"),"")</f>
        <v>0.0</v>
      </c>
      <c r="AU57" s="7"/>
      <c r="AV57" s="7"/>
      <c r="AW57" s="7" t="inlineStr">
        <is>
          <t>東京都千代田区神田佐久間町1-17 4F</t>
        </is>
      </c>
      <c r="AX57" s="7" t="inlineStr">
        <is>
          <t>plastic toys</t>
        </is>
      </c>
      <c r="AY57" s="7" t="inlineStr">
        <is>
          <t>ABS</t>
        </is>
      </c>
      <c r="AZ57" s="7" t="n">
        <v>12.8</v>
      </c>
      <c r="BA57" s="7" t="inlineStr">
        <is>
          <t xml:space="preserve"> </t>
        </is>
      </c>
      <c r="BB57" s="7"/>
      <c r="BC57" s="7"/>
      <c r="BD57" s="7"/>
    </row>
    <row r="58" customHeight="true" ht="33.0">
      <c r="A58" s="13" t="inlineStr">
        <is>
          <t>DIDA</t>
        </is>
      </c>
      <c r="B58" s="14"/>
      <c r="C58" s="15" t="inlineStr">
        <is>
          <t>365027493121</t>
        </is>
      </c>
      <c r="D58" s="15" t="inlineStr">
        <is>
          <t>365027493121</t>
        </is>
      </c>
      <c r="E58" s="7" t="n">
        <v>1.0</v>
      </c>
      <c r="F58" s="11" t="n">
        <v>0.55</v>
      </c>
      <c r="G58" s="7" t="inlineStr">
        <is>
          <t>KGM</t>
        </is>
      </c>
      <c r="H58" s="16" t="n">
        <f>UPPER(AX58)</f>
        <v>0.0</v>
      </c>
      <c r="I58" s="16" t="n">
        <f>UPPER(AY58)</f>
        <v>0.0</v>
      </c>
      <c r="J58" s="16" t="inlineStr">
        <is>
          <t>パスタ屋 とらうさぎ3番店</t>
        </is>
      </c>
      <c r="K58" s="25" t="n">
        <f>UPPER(J58)</f>
        <v>0.0</v>
      </c>
      <c r="L58" s="25"/>
      <c r="M58" s="26" t="n">
        <f>AU58&amp;AV58&amp;AW58&amp;BD58</f>
        <v>0.0</v>
      </c>
      <c r="N58" s="27" t="n">
        <f>UPPER(M58)</f>
        <v>0.0</v>
      </c>
      <c r="O58" s="28" t="n">
        <f>MID(N58,MIN(IFERROR(FIND({0,1,2,3,4,5,6,7,8,9},N58),LEN(N58)+1)),LEN(N58))</f>
        <v>0.0</v>
      </c>
      <c r="P58" s="28" t="n">
        <f>L58&amp;" "&amp;O58</f>
        <v>0.0</v>
      </c>
      <c r="Q58" s="27" t="inlineStr">
        <is>
          <t>211-0041</t>
        </is>
      </c>
      <c r="R58" s="30" t="inlineStr">
        <is>
          <t>044-982-1638</t>
        </is>
      </c>
      <c r="S58" s="31" t="inlineStr">
        <is>
          <t xml:space="preserve">HUI ZHOU JING SHAN GONG MAO YOU XIAN GONG SI </t>
        </is>
      </c>
      <c r="T58" s="31" t="inlineStr">
        <is>
          <t>GUANG DONG SHENG HUI ZHOU SHI HUI CHENG QU QIAO DONG JIE DAO HUI ZHOU SHI HUI ZHOU DA DAO 108 HAO</t>
        </is>
      </c>
      <c r="U58" s="32" t="inlineStr">
        <is>
          <t>C&amp;F</t>
        </is>
      </c>
      <c r="V58" s="32" t="inlineStr">
        <is>
          <t>JPY</t>
        </is>
      </c>
      <c r="W58" s="33"/>
      <c r="X58" s="34" t="n">
        <f>INT(AZ58)</f>
        <v>0.0</v>
      </c>
      <c r="Y58" s="32" t="inlineStr">
        <is>
          <t>A</t>
        </is>
      </c>
      <c r="Z58" s="32" t="inlineStr">
        <is>
          <t>JPY</t>
        </is>
      </c>
      <c r="AA58" s="32"/>
      <c r="AB58" s="32" t="inlineStr">
        <is>
          <t>CN</t>
        </is>
      </c>
      <c r="AD58" s="27" t="inlineStr">
        <is>
          <t>パスタ屋 とらうさぎ3番店</t>
        </is>
      </c>
      <c r="AE58" s="7" t="n">
        <f>AU58&amp;AV58&amp;AW58&amp;BD58</f>
        <v>0.0</v>
      </c>
      <c r="AF58" s="7" t="inlineStr">
        <is>
          <t>044-982-1638</t>
        </is>
      </c>
      <c r="AG58" s="7" t="inlineStr">
        <is>
          <t>211-0041</t>
        </is>
      </c>
      <c r="AH58" s="7" t="inlineStr">
        <is>
          <t>楽天-Rumay-D</t>
        </is>
      </c>
      <c r="AI58" s="7" t="n">
        <f>BB58&amp;BC58&amp;BA58</f>
        <v>0.0</v>
      </c>
      <c r="AJ58" s="7" t="inlineStr">
        <is>
          <t xml:space="preserve"> 072-703-4761</t>
        </is>
      </c>
      <c r="AK58" s="39" t="inlineStr">
        <is>
          <t>C</t>
        </is>
      </c>
      <c r="AL58" s="39" t="n">
        <v>1.0</v>
      </c>
      <c r="AM58" s="27" t="n">
        <f>IF(OR(ISNUMBER(SEARCH("amazon",AH58)),ISNUMBER(SEARCH("亚马逊",AH58))),"PUS001",IF(OR(ISNUMBER(SEARCH("rakuten",AH58)),ISNUMBER(SEARCH("楽天",AH58)),ISNUMBER(SEARCH("乐天",AH58))),"PJP001",IF(ISNUMBER(SEARCH("tik tok shop",AH58)),"PSG003",IF(ISNUMBER(SEARCH("temu",AH58)),"PSG001",IF(ISNUMBER(SEARCH("shein",AH58)),"JSG001",IF(OR(ISNUMBER(SEARCH("yahoo",AH58)),ISNUMBER(SEARCH("雅虎",AH58)),ISNUMBER(SEARCH("雅",AH58)),LEFT(UPPER(AH58),1)="Y"),"PJP005",IF(ISNUMBER(SEARCH("DDA JAPAN",AH58)),CHOOSE(RANDBETWEEN(1,3),"temu","PSG003","PSG001"),"JCNZZZ")))))))</f>
        <v>0.0</v>
      </c>
      <c r="AN58" s="7" t="n">
        <f>IF(ISNUMBER(SEARCH("JCNZZZ",AM58)),CHOOSE(RANDBETWEEN(1,4),"TAOBAO0","JinDdong","PingDduoDduo","ALIBABA"),"")</f>
        <v>0.0</v>
      </c>
      <c r="AU58" s="7" t="inlineStr">
        <is>
          <t>神奈川県</t>
        </is>
      </c>
      <c r="AV58" s="7" t="inlineStr">
        <is>
          <t>川崎市中原区</t>
        </is>
      </c>
      <c r="AW58" s="7" t="inlineStr">
        <is>
          <t>下小田中1-8-2 KFAビル1階（パスタ屋 とらうさぎ3番店）</t>
        </is>
      </c>
      <c r="AX58" s="7" t="inlineStr">
        <is>
          <t>Belt</t>
        </is>
      </c>
      <c r="AY58" s="7" t="inlineStr">
        <is>
          <t>ABS</t>
        </is>
      </c>
      <c r="AZ58" s="7" t="n">
        <v>15.8</v>
      </c>
      <c r="BA58" s="7" t="inlineStr">
        <is>
          <t xml:space="preserve"> 中央区内本町2‐3‐8　ダイアパレスビル本町 1006ミズイシテクノロジー</t>
        </is>
      </c>
      <c r="BB58" s="7"/>
      <c r="BC58" s="7"/>
      <c r="BD58" s="7"/>
    </row>
    <row r="59" customHeight="true" ht="33.0">
      <c r="A59" s="13" t="inlineStr">
        <is>
          <t>DIDA</t>
        </is>
      </c>
      <c r="B59" s="14"/>
      <c r="C59" s="15" t="inlineStr">
        <is>
          <t>365027493272</t>
        </is>
      </c>
      <c r="D59" s="15" t="inlineStr">
        <is>
          <t>365027493272</t>
        </is>
      </c>
      <c r="E59" s="7" t="n">
        <v>1.0</v>
      </c>
      <c r="F59" s="11" t="n">
        <v>1.02</v>
      </c>
      <c r="G59" s="7" t="inlineStr">
        <is>
          <t>KGM</t>
        </is>
      </c>
      <c r="H59" s="16" t="n">
        <f>UPPER(AX59)</f>
        <v>0.0</v>
      </c>
      <c r="I59" s="16" t="n">
        <f>UPPER(AY59)</f>
        <v>0.0</v>
      </c>
      <c r="J59" s="16" t="inlineStr">
        <is>
          <t>今川 亜由美 [イマガワ アユミ]</t>
        </is>
      </c>
      <c r="K59" s="25" t="n">
        <f>UPPER(J59)</f>
        <v>0.0</v>
      </c>
      <c r="L59" s="25"/>
      <c r="M59" s="26" t="n">
        <f>AU59&amp;AV59&amp;AW59&amp;BD59</f>
        <v>0.0</v>
      </c>
      <c r="N59" s="27" t="n">
        <f>UPPER(M59)</f>
        <v>0.0</v>
      </c>
      <c r="O59" s="28" t="n">
        <f>MID(N59,MIN(IFERROR(FIND({0,1,2,3,4,5,6,7,8,9},N59),LEN(N59)+1)),LEN(N59))</f>
        <v>0.0</v>
      </c>
      <c r="P59" s="28" t="n">
        <f>L59&amp;" "&amp;O59</f>
        <v>0.0</v>
      </c>
      <c r="Q59" s="27" t="inlineStr">
        <is>
          <t>769-1407</t>
        </is>
      </c>
      <c r="R59" s="30" t="inlineStr">
        <is>
          <t>090-4782-4051</t>
        </is>
      </c>
      <c r="S59" s="31" t="inlineStr">
        <is>
          <t xml:space="preserve">HUI ZHOU JING SHAN GONG MAO YOU XIAN GONG SI </t>
        </is>
      </c>
      <c r="T59" s="31" t="inlineStr">
        <is>
          <t>GUANG DONG SHENG HUI ZHOU SHI HUI CHENG QU QIAO DONG JIE DAO HUI ZHOU SHI HUI ZHOU DA DAO 108 HAO</t>
        </is>
      </c>
      <c r="U59" s="32" t="inlineStr">
        <is>
          <t>C&amp;F</t>
        </is>
      </c>
      <c r="V59" s="32" t="inlineStr">
        <is>
          <t>JPY</t>
        </is>
      </c>
      <c r="W59" s="33"/>
      <c r="X59" s="34" t="n">
        <f>INT(AZ59)</f>
        <v>0.0</v>
      </c>
      <c r="Y59" s="32" t="inlineStr">
        <is>
          <t>A</t>
        </is>
      </c>
      <c r="Z59" s="32" t="inlineStr">
        <is>
          <t>JPY</t>
        </is>
      </c>
      <c r="AA59" s="32"/>
      <c r="AB59" s="32" t="inlineStr">
        <is>
          <t>CN</t>
        </is>
      </c>
      <c r="AD59" s="27" t="inlineStr">
        <is>
          <t>今川 亜由美 [イマガワ アユミ]</t>
        </is>
      </c>
      <c r="AE59" s="7" t="n">
        <f>AU59&amp;AV59&amp;AW59&amp;BD59</f>
        <v>0.0</v>
      </c>
      <c r="AF59" s="7" t="inlineStr">
        <is>
          <t>090-4782-4051</t>
        </is>
      </c>
      <c r="AG59" s="7" t="inlineStr">
        <is>
          <t>769-1407</t>
        </is>
      </c>
      <c r="AH59" s="7" t="inlineStr">
        <is>
          <t>楽天-KAMCITY-L</t>
        </is>
      </c>
      <c r="AI59" s="7" t="n">
        <f>BB59&amp;BC59&amp;BA59</f>
        <v>0.0</v>
      </c>
      <c r="AJ59" s="7" t="inlineStr">
        <is>
          <t xml:space="preserve"> 070-1432-7896</t>
        </is>
      </c>
      <c r="AK59" s="39" t="inlineStr">
        <is>
          <t>C</t>
        </is>
      </c>
      <c r="AL59" s="39" t="n">
        <v>1.0</v>
      </c>
      <c r="AM59" s="27" t="n">
        <f>IF(OR(ISNUMBER(SEARCH("amazon",AH59)),ISNUMBER(SEARCH("亚马逊",AH59))),"PUS001",IF(OR(ISNUMBER(SEARCH("rakuten",AH59)),ISNUMBER(SEARCH("楽天",AH59)),ISNUMBER(SEARCH("乐天",AH59))),"PJP001",IF(ISNUMBER(SEARCH("tik tok shop",AH59)),"PSG003",IF(ISNUMBER(SEARCH("temu",AH59)),"PSG001",IF(ISNUMBER(SEARCH("shein",AH59)),"JSG001",IF(OR(ISNUMBER(SEARCH("yahoo",AH59)),ISNUMBER(SEARCH("雅虎",AH59)),ISNUMBER(SEARCH("雅",AH59)),LEFT(UPPER(AH59),1)="Y"),"PJP005",IF(ISNUMBER(SEARCH("DDA JAPAN",AH59)),CHOOSE(RANDBETWEEN(1,3),"temu","PSG003","PSG001"),"JCNZZZ")))))))</f>
        <v>0.0</v>
      </c>
      <c r="AN59" s="7" t="n">
        <f>IF(ISNUMBER(SEARCH("JCNZZZ",AM59)),CHOOSE(RANDBETWEEN(1,4),"TAOBAO0","JinDdong","PingDduoDduo","ALIBABA"),"")</f>
        <v>0.0</v>
      </c>
      <c r="AU59" s="7" t="inlineStr">
        <is>
          <t>香川県</t>
        </is>
      </c>
      <c r="AV59" s="7" t="inlineStr">
        <is>
          <t>三豊市</t>
        </is>
      </c>
      <c r="AW59" s="7" t="inlineStr">
        <is>
          <t>仁尾町仁尾丁1452-30</t>
        </is>
      </c>
      <c r="AX59" s="7" t="inlineStr">
        <is>
          <t>Led light</t>
        </is>
      </c>
      <c r="AY59" s="7" t="inlineStr">
        <is>
          <t>ABS</t>
        </is>
      </c>
      <c r="AZ59" s="7" t="n">
        <v>6.34</v>
      </c>
      <c r="BA59" s="7" t="inlineStr">
        <is>
          <t xml:space="preserve"> 内本町2‐3‐8</t>
        </is>
      </c>
      <c r="BB59" s="7"/>
      <c r="BC59" s="7"/>
      <c r="BD59" s="7"/>
    </row>
    <row r="60" customHeight="true" ht="33.0">
      <c r="A60" s="13" t="inlineStr">
        <is>
          <t>DIDA</t>
        </is>
      </c>
      <c r="B60" s="14"/>
      <c r="C60" s="15" t="inlineStr">
        <is>
          <t>365027493040</t>
        </is>
      </c>
      <c r="D60" s="15" t="inlineStr">
        <is>
          <t>365027493040</t>
        </is>
      </c>
      <c r="E60" s="7" t="n">
        <v>1.0</v>
      </c>
      <c r="F60" s="11" t="n">
        <v>1.33</v>
      </c>
      <c r="G60" s="7" t="inlineStr">
        <is>
          <t>KGM</t>
        </is>
      </c>
      <c r="H60" s="16" t="n">
        <f>UPPER(AX60)</f>
        <v>0.0</v>
      </c>
      <c r="I60" s="16" t="n">
        <f>UPPER(AY60)</f>
        <v>0.0</v>
      </c>
      <c r="J60" s="16" t="inlineStr">
        <is>
          <t>林 竜生</t>
        </is>
      </c>
      <c r="K60" s="25" t="n">
        <f>UPPER(J60)</f>
        <v>0.0</v>
      </c>
      <c r="L60" s="25"/>
      <c r="M60" s="26" t="n">
        <f>AU60&amp;AV60&amp;AW60&amp;BD60</f>
        <v>0.0</v>
      </c>
      <c r="N60" s="27" t="n">
        <f>UPPER(M60)</f>
        <v>0.0</v>
      </c>
      <c r="O60" s="28" t="n">
        <f>MID(N60,MIN(IFERROR(FIND({0,1,2,3,4,5,6,7,8,9},N60),LEN(N60)+1)),LEN(N60))</f>
        <v>0.0</v>
      </c>
      <c r="P60" s="28" t="n">
        <f>L60&amp;" "&amp;O60</f>
        <v>0.0</v>
      </c>
      <c r="Q60" s="27" t="inlineStr">
        <is>
          <t>502-0002</t>
        </is>
      </c>
      <c r="R60" s="30" t="inlineStr">
        <is>
          <t>090-1472-7900</t>
        </is>
      </c>
      <c r="S60" s="31" t="inlineStr">
        <is>
          <t xml:space="preserve">HUI ZHOU JING SHAN GONG MAO YOU XIAN GONG SI </t>
        </is>
      </c>
      <c r="T60" s="31" t="inlineStr">
        <is>
          <t>GUANG DONG SHENG HUI ZHOU SHI HUI CHENG QU QIAO DONG JIE DAO HUI ZHOU SHI HUI ZHOU DA DAO 108 HAO</t>
        </is>
      </c>
      <c r="U60" s="32" t="inlineStr">
        <is>
          <t>C&amp;F</t>
        </is>
      </c>
      <c r="V60" s="32" t="inlineStr">
        <is>
          <t>JPY</t>
        </is>
      </c>
      <c r="W60" s="33"/>
      <c r="X60" s="34" t="n">
        <f>INT(AZ60)</f>
        <v>0.0</v>
      </c>
      <c r="Y60" s="32" t="inlineStr">
        <is>
          <t>A</t>
        </is>
      </c>
      <c r="Z60" s="32" t="inlineStr">
        <is>
          <t>JPY</t>
        </is>
      </c>
      <c r="AA60" s="32"/>
      <c r="AB60" s="32" t="inlineStr">
        <is>
          <t>CN</t>
        </is>
      </c>
      <c r="AD60" s="27" t="inlineStr">
        <is>
          <t>林 竜生</t>
        </is>
      </c>
      <c r="AE60" s="7" t="n">
        <f>AU60&amp;AV60&amp;AW60&amp;BD60</f>
        <v>0.0</v>
      </c>
      <c r="AF60" s="7" t="inlineStr">
        <is>
          <t>090-1472-7900</t>
        </is>
      </c>
      <c r="AG60" s="7" t="inlineStr">
        <is>
          <t>502-0002</t>
        </is>
      </c>
      <c r="AH60" s="7" t="inlineStr">
        <is>
          <t>I.M.P楽天市場店</t>
        </is>
      </c>
      <c r="AI60" s="7" t="n">
        <f>BB60&amp;BC60&amp;BA60</f>
        <v>0.0</v>
      </c>
      <c r="AJ60" s="7" t="inlineStr">
        <is>
          <t xml:space="preserve"> 050-3092-1704</t>
        </is>
      </c>
      <c r="AK60" s="39" t="inlineStr">
        <is>
          <t>C</t>
        </is>
      </c>
      <c r="AL60" s="39" t="n">
        <v>1.0</v>
      </c>
      <c r="AM60" s="27" t="n">
        <f>IF(OR(ISNUMBER(SEARCH("amazon",AH60)),ISNUMBER(SEARCH("亚马逊",AH60))),"PUS001",IF(OR(ISNUMBER(SEARCH("rakuten",AH60)),ISNUMBER(SEARCH("楽天",AH60)),ISNUMBER(SEARCH("乐天",AH60))),"PJP001",IF(ISNUMBER(SEARCH("tik tok shop",AH60)),"PSG003",IF(ISNUMBER(SEARCH("temu",AH60)),"PSG001",IF(ISNUMBER(SEARCH("shein",AH60)),"JSG001",IF(OR(ISNUMBER(SEARCH("yahoo",AH60)),ISNUMBER(SEARCH("雅虎",AH60)),ISNUMBER(SEARCH("雅",AH60)),LEFT(UPPER(AH60),1)="Y"),"PJP005",IF(ISNUMBER(SEARCH("DDA JAPAN",AH60)),CHOOSE(RANDBETWEEN(1,3),"temu","PSG003","PSG001"),"JCNZZZ")))))))</f>
        <v>0.0</v>
      </c>
      <c r="AN60" s="7" t="n">
        <f>IF(ISNUMBER(SEARCH("JCNZZZ",AM60)),CHOOSE(RANDBETWEEN(1,4),"TAOBAO0","JinDdong","PingDduoDduo","ALIBABA"),"")</f>
        <v>0.0</v>
      </c>
      <c r="AU60" s="7" t="inlineStr">
        <is>
          <t>岐阜県</t>
        </is>
      </c>
      <c r="AV60" s="7" t="inlineStr">
        <is>
          <t>岐阜市</t>
        </is>
      </c>
      <c r="AW60" s="7" t="inlineStr">
        <is>
          <t>粟野東3丁目210番地</t>
        </is>
      </c>
      <c r="AX60" s="7" t="inlineStr">
        <is>
          <t>toy</t>
        </is>
      </c>
      <c r="AY60" s="7" t="inlineStr">
        <is>
          <t>Plastic</t>
        </is>
      </c>
      <c r="AZ60" s="7" t="n">
        <v>15.0</v>
      </c>
      <c r="BA60" s="7" t="inlineStr">
        <is>
          <t xml:space="preserve"> 滋賀県甲賀市甲南町野尻558</t>
        </is>
      </c>
      <c r="BB60" s="7"/>
      <c r="BC60" s="7"/>
      <c r="BD60" s="7"/>
    </row>
    <row r="61" customHeight="true" ht="33.0">
      <c r="A61" s="13" t="inlineStr">
        <is>
          <t>DIDA</t>
        </is>
      </c>
      <c r="B61" s="14"/>
      <c r="C61" s="15" t="inlineStr">
        <is>
          <t>365027492804</t>
        </is>
      </c>
      <c r="D61" s="15" t="inlineStr">
        <is>
          <t>365027492804</t>
        </is>
      </c>
      <c r="E61" s="7" t="n">
        <v>1.0</v>
      </c>
      <c r="F61" s="11" t="n">
        <v>0.52</v>
      </c>
      <c r="G61" s="7" t="inlineStr">
        <is>
          <t>KGM</t>
        </is>
      </c>
      <c r="H61" s="16" t="n">
        <f>UPPER(AX61)</f>
        <v>0.0</v>
      </c>
      <c r="I61" s="16" t="n">
        <f>UPPER(AY61)</f>
        <v>0.0</v>
      </c>
      <c r="J61" s="16" t="inlineStr">
        <is>
          <t>野沢 琴美</t>
        </is>
      </c>
      <c r="K61" s="25" t="n">
        <f>UPPER(J61)</f>
        <v>0.0</v>
      </c>
      <c r="L61" s="25"/>
      <c r="M61" s="26" t="n">
        <f>AU61&amp;AV61&amp;AW61&amp;BD61</f>
        <v>0.0</v>
      </c>
      <c r="N61" s="27" t="n">
        <f>UPPER(M61)</f>
        <v>0.0</v>
      </c>
      <c r="O61" s="28" t="n">
        <f>MID(N61,MIN(IFERROR(FIND({0,1,2,3,4,5,6,7,8,9},N61),LEN(N61)+1)),LEN(N61))</f>
        <v>0.0</v>
      </c>
      <c r="P61" s="28" t="n">
        <f>L61&amp;" "&amp;O61</f>
        <v>0.0</v>
      </c>
      <c r="Q61" s="27" t="inlineStr">
        <is>
          <t>179-0074</t>
        </is>
      </c>
      <c r="R61" s="30" t="inlineStr">
        <is>
          <t>080-5482-5103</t>
        </is>
      </c>
      <c r="S61" s="31" t="inlineStr">
        <is>
          <t xml:space="preserve">HUI ZHOU JING SHAN GONG MAO YOU XIAN GONG SI </t>
        </is>
      </c>
      <c r="T61" s="31" t="inlineStr">
        <is>
          <t>GUANG DONG SHENG HUI ZHOU SHI HUI CHENG QU QIAO DONG JIE DAO HUI ZHOU SHI HUI ZHOU DA DAO 108 HAO</t>
        </is>
      </c>
      <c r="U61" s="32" t="inlineStr">
        <is>
          <t>C&amp;F</t>
        </is>
      </c>
      <c r="V61" s="32" t="inlineStr">
        <is>
          <t>JPY</t>
        </is>
      </c>
      <c r="W61" s="33"/>
      <c r="X61" s="34" t="n">
        <f>INT(AZ61)</f>
        <v>0.0</v>
      </c>
      <c r="Y61" s="32" t="inlineStr">
        <is>
          <t>A</t>
        </is>
      </c>
      <c r="Z61" s="32" t="inlineStr">
        <is>
          <t>JPY</t>
        </is>
      </c>
      <c r="AA61" s="32"/>
      <c r="AB61" s="32" t="inlineStr">
        <is>
          <t>CN</t>
        </is>
      </c>
      <c r="AD61" s="27" t="inlineStr">
        <is>
          <t>野沢 琴美</t>
        </is>
      </c>
      <c r="AE61" s="7" t="n">
        <f>AU61&amp;AV61&amp;AW61&amp;BD61</f>
        <v>0.0</v>
      </c>
      <c r="AF61" s="7" t="inlineStr">
        <is>
          <t>080-5482-5103</t>
        </is>
      </c>
      <c r="AG61" s="7" t="inlineStr">
        <is>
          <t>179-0074</t>
        </is>
      </c>
      <c r="AH61" s="7" t="inlineStr">
        <is>
          <t>スマイルファミリー</t>
        </is>
      </c>
      <c r="AI61" s="7" t="n">
        <f>BB61&amp;BC61&amp;BA61</f>
        <v>0.0</v>
      </c>
      <c r="AJ61" s="7" t="inlineStr">
        <is>
          <t xml:space="preserve"> 04-6364-2754</t>
        </is>
      </c>
      <c r="AK61" s="39" t="inlineStr">
        <is>
          <t>C</t>
        </is>
      </c>
      <c r="AL61" s="39" t="n">
        <v>1.0</v>
      </c>
      <c r="AM61" s="27" t="n">
        <f>IF(OR(ISNUMBER(SEARCH("amazon",AH61)),ISNUMBER(SEARCH("亚马逊",AH61))),"PUS001",IF(OR(ISNUMBER(SEARCH("rakuten",AH61)),ISNUMBER(SEARCH("楽天",AH61)),ISNUMBER(SEARCH("乐天",AH61))),"PJP001",IF(ISNUMBER(SEARCH("tik tok shop",AH61)),"PSG003",IF(ISNUMBER(SEARCH("temu",AH61)),"PSG001",IF(ISNUMBER(SEARCH("shein",AH61)),"JSG001",IF(OR(ISNUMBER(SEARCH("yahoo",AH61)),ISNUMBER(SEARCH("雅虎",AH61)),ISNUMBER(SEARCH("雅",AH61)),LEFT(UPPER(AH61),1)="Y"),"PJP005",IF(ISNUMBER(SEARCH("DDA JAPAN",AH61)),CHOOSE(RANDBETWEEN(1,3),"temu","PSG003","PSG001"),"JCNZZZ")))))))</f>
        <v>0.0</v>
      </c>
      <c r="AN61" s="7" t="n">
        <f>IF(ISNUMBER(SEARCH("JCNZZZ",AM61)),CHOOSE(RANDBETWEEN(1,4),"TAOBAO0","JinDdong","PingDduoDduo","ALIBABA"),"")</f>
        <v>0.0</v>
      </c>
      <c r="AU61" s="7" t="inlineStr">
        <is>
          <t>東京都</t>
        </is>
      </c>
      <c r="AV61" s="7" t="inlineStr">
        <is>
          <t>練馬区</t>
        </is>
      </c>
      <c r="AW61" s="7" t="inlineStr">
        <is>
          <t>春日町4-19-22</t>
        </is>
      </c>
      <c r="AX61" s="7" t="inlineStr">
        <is>
          <t>Beach Toys</t>
        </is>
      </c>
      <c r="AY61" s="7" t="inlineStr">
        <is>
          <t>plastic</t>
        </is>
      </c>
      <c r="AZ61" s="7" t="n">
        <v>12.0</v>
      </c>
      <c r="BA61" s="7" t="inlineStr">
        <is>
          <t xml:space="preserve"> 神奈川県秦野市戸川４７０－７</t>
        </is>
      </c>
      <c r="BB61" s="7"/>
      <c r="BC61" s="7"/>
      <c r="BD61" s="7"/>
    </row>
    <row r="62" customHeight="true" ht="33.0">
      <c r="A62" s="13" t="inlineStr">
        <is>
          <t>DIDA</t>
        </is>
      </c>
      <c r="B62" s="14"/>
      <c r="C62" s="15" t="inlineStr">
        <is>
          <t>365027492841</t>
        </is>
      </c>
      <c r="D62" s="15" t="inlineStr">
        <is>
          <t>365027492841</t>
        </is>
      </c>
      <c r="E62" s="7" t="n">
        <v>1.0</v>
      </c>
      <c r="F62" s="11" t="n">
        <v>0.39</v>
      </c>
      <c r="G62" s="7" t="inlineStr">
        <is>
          <t>KGM</t>
        </is>
      </c>
      <c r="H62" s="16" t="n">
        <f>UPPER(AX62)</f>
        <v>0.0</v>
      </c>
      <c r="I62" s="16" t="n">
        <f>UPPER(AY62)</f>
        <v>0.0</v>
      </c>
      <c r="J62" s="16" t="inlineStr">
        <is>
          <t>長谷川 由美</t>
        </is>
      </c>
      <c r="K62" s="25" t="n">
        <f>UPPER(J62)</f>
        <v>0.0</v>
      </c>
      <c r="L62" s="25"/>
      <c r="M62" s="26" t="n">
        <f>AU62&amp;AV62&amp;AW62&amp;BD62</f>
        <v>0.0</v>
      </c>
      <c r="N62" s="27" t="n">
        <f>UPPER(M62)</f>
        <v>0.0</v>
      </c>
      <c r="O62" s="28" t="n">
        <f>MID(N62,MIN(IFERROR(FIND({0,1,2,3,4,5,6,7,8,9},N62),LEN(N62)+1)),LEN(N62))</f>
        <v>0.0</v>
      </c>
      <c r="P62" s="28" t="n">
        <f>L62&amp;" "&amp;O62</f>
        <v>0.0</v>
      </c>
      <c r="Q62" s="27" t="inlineStr">
        <is>
          <t>513-0011</t>
        </is>
      </c>
      <c r="R62" s="30" t="inlineStr">
        <is>
          <t>059-379-6707</t>
        </is>
      </c>
      <c r="S62" s="31" t="inlineStr">
        <is>
          <t xml:space="preserve">HUI ZHOU JING SHAN GONG MAO YOU XIAN GONG SI </t>
        </is>
      </c>
      <c r="T62" s="31" t="inlineStr">
        <is>
          <t>GUANG DONG SHENG HUI ZHOU SHI HUI CHENG QU QIAO DONG JIE DAO HUI ZHOU SHI HUI ZHOU DA DAO 108 HAO</t>
        </is>
      </c>
      <c r="U62" s="32" t="inlineStr">
        <is>
          <t>C&amp;F</t>
        </is>
      </c>
      <c r="V62" s="32" t="inlineStr">
        <is>
          <t>JPY</t>
        </is>
      </c>
      <c r="W62" s="33"/>
      <c r="X62" s="34" t="n">
        <f>INT(AZ62)</f>
        <v>0.0</v>
      </c>
      <c r="Y62" s="32" t="inlineStr">
        <is>
          <t>A</t>
        </is>
      </c>
      <c r="Z62" s="32" t="inlineStr">
        <is>
          <t>JPY</t>
        </is>
      </c>
      <c r="AA62" s="32"/>
      <c r="AB62" s="32" t="inlineStr">
        <is>
          <t>CN</t>
        </is>
      </c>
      <c r="AD62" s="27" t="inlineStr">
        <is>
          <t>長谷川 由美</t>
        </is>
      </c>
      <c r="AE62" s="7" t="n">
        <f>AU62&amp;AV62&amp;AW62&amp;BD62</f>
        <v>0.0</v>
      </c>
      <c r="AF62" s="7" t="inlineStr">
        <is>
          <t>059-379-6707</t>
        </is>
      </c>
      <c r="AG62" s="7" t="inlineStr">
        <is>
          <t>513-0011</t>
        </is>
      </c>
      <c r="AH62" s="7" t="inlineStr">
        <is>
          <t>FINTRUE</t>
        </is>
      </c>
      <c r="AI62" s="7" t="n">
        <f>BB62&amp;BC62&amp;BA62</f>
        <v>0.0</v>
      </c>
      <c r="AJ62" s="7" t="inlineStr">
        <is>
          <t xml:space="preserve"> 05058401648</t>
        </is>
      </c>
      <c r="AK62" s="39" t="inlineStr">
        <is>
          <t>C</t>
        </is>
      </c>
      <c r="AL62" s="39" t="n">
        <v>1.0</v>
      </c>
      <c r="AM62" s="27" t="n">
        <f>IF(OR(ISNUMBER(SEARCH("amazon",AH62)),ISNUMBER(SEARCH("亚马逊",AH62))),"PUS001",IF(OR(ISNUMBER(SEARCH("rakuten",AH62)),ISNUMBER(SEARCH("楽天",AH62)),ISNUMBER(SEARCH("乐天",AH62))),"PJP001",IF(ISNUMBER(SEARCH("tik tok shop",AH62)),"PSG003",IF(ISNUMBER(SEARCH("temu",AH62)),"PSG001",IF(ISNUMBER(SEARCH("shein",AH62)),"JSG001",IF(OR(ISNUMBER(SEARCH("yahoo",AH62)),ISNUMBER(SEARCH("雅虎",AH62)),ISNUMBER(SEARCH("雅",AH62)),LEFT(UPPER(AH62),1)="Y"),"PJP005",IF(ISNUMBER(SEARCH("DDA JAPAN",AH62)),CHOOSE(RANDBETWEEN(1,3),"temu","PSG003","PSG001"),"JCNZZZ")))))))</f>
        <v>0.0</v>
      </c>
      <c r="AN62" s="7" t="n">
        <f>IF(ISNUMBER(SEARCH("JCNZZZ",AM62)),CHOOSE(RANDBETWEEN(1,4),"TAOBAO0","JinDdong","PingDduoDduo","ALIBABA"),"")</f>
        <v>0.0</v>
      </c>
      <c r="AU62" s="7" t="inlineStr">
        <is>
          <t>三重県</t>
        </is>
      </c>
      <c r="AV62" s="7" t="inlineStr">
        <is>
          <t>鈴鹿市</t>
        </is>
      </c>
      <c r="AW62" s="7" t="inlineStr">
        <is>
          <t>高塚町183-20</t>
        </is>
      </c>
      <c r="AX62" s="7" t="inlineStr">
        <is>
          <t>Backrest pillow</t>
        </is>
      </c>
      <c r="AY62" s="7" t="inlineStr">
        <is>
          <t>sponge</t>
        </is>
      </c>
      <c r="AZ62" s="7" t="n">
        <v>17.0</v>
      </c>
      <c r="BA62" s="7" t="inlineStr">
        <is>
          <t xml:space="preserve"> 大阪府大阪市中央区安堂寺町2-1-3-901</t>
        </is>
      </c>
      <c r="BB62" s="7"/>
      <c r="BC62" s="7"/>
      <c r="BD62" s="7"/>
    </row>
    <row r="63" customHeight="true" ht="33.0">
      <c r="A63" s="13" t="inlineStr">
        <is>
          <t>DIDA</t>
        </is>
      </c>
      <c r="B63" s="14"/>
      <c r="C63" s="15" t="inlineStr">
        <is>
          <t>365027493180</t>
        </is>
      </c>
      <c r="D63" s="15" t="inlineStr">
        <is>
          <t>365027493180</t>
        </is>
      </c>
      <c r="E63" s="7" t="n">
        <v>1.0</v>
      </c>
      <c r="F63" s="11" t="n">
        <v>1.28</v>
      </c>
      <c r="G63" s="7" t="inlineStr">
        <is>
          <t>KGM</t>
        </is>
      </c>
      <c r="H63" s="16" t="n">
        <f>UPPER(AX63)</f>
        <v>0.0</v>
      </c>
      <c r="I63" s="16" t="n">
        <f>UPPER(AY63)</f>
        <v>0.0</v>
      </c>
      <c r="J63" s="16" t="inlineStr">
        <is>
          <t>福永 つよみ</t>
        </is>
      </c>
      <c r="K63" s="25" t="n">
        <f>UPPER(J63)</f>
        <v>0.0</v>
      </c>
      <c r="L63" s="25"/>
      <c r="M63" s="26" t="n">
        <f>AU63&amp;AV63&amp;AW63&amp;BD63</f>
        <v>0.0</v>
      </c>
      <c r="N63" s="27" t="n">
        <f>UPPER(M63)</f>
        <v>0.0</v>
      </c>
      <c r="O63" s="28" t="n">
        <f>MID(N63,MIN(IFERROR(FIND({0,1,2,3,4,5,6,7,8,9},N63),LEN(N63)+1)),LEN(N63))</f>
        <v>0.0</v>
      </c>
      <c r="P63" s="28" t="n">
        <f>L63&amp;" "&amp;O63</f>
        <v>0.0</v>
      </c>
      <c r="Q63" s="27" t="inlineStr">
        <is>
          <t>751-0859</t>
        </is>
      </c>
      <c r="R63" s="30" t="inlineStr">
        <is>
          <t>090-5268-9908</t>
        </is>
      </c>
      <c r="S63" s="31" t="inlineStr">
        <is>
          <t xml:space="preserve">HUI ZHOU JING SHAN GONG MAO YOU XIAN GONG SI </t>
        </is>
      </c>
      <c r="T63" s="31" t="inlineStr">
        <is>
          <t>GUANG DONG SHENG HUI ZHOU SHI HUI CHENG QU QIAO DONG JIE DAO HUI ZHOU SHI HUI ZHOU DA DAO 108 HAO</t>
        </is>
      </c>
      <c r="U63" s="32" t="inlineStr">
        <is>
          <t>C&amp;F</t>
        </is>
      </c>
      <c r="V63" s="32" t="inlineStr">
        <is>
          <t>JPY</t>
        </is>
      </c>
      <c r="W63" s="33"/>
      <c r="X63" s="34" t="n">
        <f>INT(AZ63)</f>
        <v>0.0</v>
      </c>
      <c r="Y63" s="32" t="inlineStr">
        <is>
          <t>A</t>
        </is>
      </c>
      <c r="Z63" s="32" t="inlineStr">
        <is>
          <t>JPY</t>
        </is>
      </c>
      <c r="AA63" s="32"/>
      <c r="AB63" s="32" t="inlineStr">
        <is>
          <t>CN</t>
        </is>
      </c>
      <c r="AD63" s="27" t="inlineStr">
        <is>
          <t>福永 つよみ</t>
        </is>
      </c>
      <c r="AE63" s="7" t="n">
        <f>AU63&amp;AV63&amp;AW63&amp;BD63</f>
        <v>0.0</v>
      </c>
      <c r="AF63" s="7" t="inlineStr">
        <is>
          <t>090-5268-9908</t>
        </is>
      </c>
      <c r="AG63" s="7" t="inlineStr">
        <is>
          <t>751-0859</t>
        </is>
      </c>
      <c r="AH63" s="7" t="inlineStr">
        <is>
          <t>ラッキーストライク</t>
        </is>
      </c>
      <c r="AI63" s="7" t="n">
        <f>BB63&amp;BC63&amp;BA63</f>
        <v>0.0</v>
      </c>
      <c r="AJ63" s="7" t="inlineStr">
        <is>
          <t xml:space="preserve"> 05030911547</t>
        </is>
      </c>
      <c r="AK63" s="39" t="inlineStr">
        <is>
          <t>C</t>
        </is>
      </c>
      <c r="AL63" s="39" t="n">
        <v>1.0</v>
      </c>
      <c r="AM63" s="27" t="n">
        <f>IF(OR(ISNUMBER(SEARCH("amazon",AH63)),ISNUMBER(SEARCH("亚马逊",AH63))),"PUS001",IF(OR(ISNUMBER(SEARCH("rakuten",AH63)),ISNUMBER(SEARCH("楽天",AH63)),ISNUMBER(SEARCH("乐天",AH63))),"PJP001",IF(ISNUMBER(SEARCH("tik tok shop",AH63)),"PSG003",IF(ISNUMBER(SEARCH("temu",AH63)),"PSG001",IF(ISNUMBER(SEARCH("shein",AH63)),"JSG001",IF(OR(ISNUMBER(SEARCH("yahoo",AH63)),ISNUMBER(SEARCH("雅虎",AH63)),ISNUMBER(SEARCH("雅",AH63)),LEFT(UPPER(AH63),1)="Y"),"PJP005",IF(ISNUMBER(SEARCH("DDA JAPAN",AH63)),CHOOSE(RANDBETWEEN(1,3),"temu","PSG003","PSG001"),"JCNZZZ")))))))</f>
        <v>0.0</v>
      </c>
      <c r="AN63" s="7" t="n">
        <f>IF(ISNUMBER(SEARCH("JCNZZZ",AM63)),CHOOSE(RANDBETWEEN(1,4),"TAOBAO0","JinDdong","PingDduoDduo","ALIBABA"),"")</f>
        <v>0.0</v>
      </c>
      <c r="AU63" s="7" t="inlineStr">
        <is>
          <t>山口県</t>
        </is>
      </c>
      <c r="AV63" s="7" t="inlineStr">
        <is>
          <t>下関市</t>
        </is>
      </c>
      <c r="AW63" s="7" t="inlineStr">
        <is>
          <t>川中本町1-1513</t>
        </is>
      </c>
      <c r="AX63" s="7" t="inlineStr">
        <is>
          <t>Crystal lotus candle holder</t>
        </is>
      </c>
      <c r="AY63" s="7" t="inlineStr">
        <is>
          <t>White crystal</t>
        </is>
      </c>
      <c r="AZ63" s="7" t="n">
        <v>16.0</v>
      </c>
      <c r="BA63" s="7" t="inlineStr">
        <is>
          <t xml:space="preserve"> 東京都西多摩郡奥多摩町留浦１０１８</t>
        </is>
      </c>
      <c r="BB63" s="7"/>
      <c r="BC63" s="7"/>
      <c r="BD63" s="7"/>
    </row>
    <row r="64" customHeight="true" ht="33.0">
      <c r="A64" s="13" t="inlineStr">
        <is>
          <t>DIDA</t>
        </is>
      </c>
      <c r="B64" s="14"/>
      <c r="C64" s="15" t="inlineStr">
        <is>
          <t>365027493412</t>
        </is>
      </c>
      <c r="D64" s="15" t="inlineStr">
        <is>
          <t>365027493412</t>
        </is>
      </c>
      <c r="E64" s="7" t="n">
        <v>1.0</v>
      </c>
      <c r="F64" s="11" t="n">
        <v>3.47</v>
      </c>
      <c r="G64" s="7" t="inlineStr">
        <is>
          <t>KGM</t>
        </is>
      </c>
      <c r="H64" s="16" t="n">
        <f>UPPER(AX64)</f>
        <v>0.0</v>
      </c>
      <c r="I64" s="16" t="n">
        <f>UPPER(AY64)</f>
        <v>0.0</v>
      </c>
      <c r="J64" s="16" t="inlineStr">
        <is>
          <t>桜井 幸夫 [サクライ ユキオ]</t>
        </is>
      </c>
      <c r="K64" s="25" t="n">
        <f>UPPER(J64)</f>
        <v>0.0</v>
      </c>
      <c r="L64" s="25"/>
      <c r="M64" s="26" t="n">
        <f>AU64&amp;AV64&amp;AW64&amp;BD64</f>
        <v>0.0</v>
      </c>
      <c r="N64" s="27" t="n">
        <f>UPPER(M64)</f>
        <v>0.0</v>
      </c>
      <c r="O64" s="28" t="n">
        <f>MID(N64,MIN(IFERROR(FIND({0,1,2,3,4,5,6,7,8,9},N64),LEN(N64)+1)),LEN(N64))</f>
        <v>0.0</v>
      </c>
      <c r="P64" s="28" t="n">
        <f>L64&amp;" "&amp;O64</f>
        <v>0.0</v>
      </c>
      <c r="Q64" s="27" t="inlineStr">
        <is>
          <t>245-0063</t>
        </is>
      </c>
      <c r="R64" s="30" t="inlineStr">
        <is>
          <t>045-851-7288</t>
        </is>
      </c>
      <c r="S64" s="31" t="inlineStr">
        <is>
          <t xml:space="preserve">HUI ZHOU JING SHAN GONG MAO YOU XIAN GONG SI </t>
        </is>
      </c>
      <c r="T64" s="31" t="inlineStr">
        <is>
          <t>GUANG DONG SHENG HUI ZHOU SHI HUI CHENG QU QIAO DONG JIE DAO HUI ZHOU SHI HUI ZHOU DA DAO 108 HAO</t>
        </is>
      </c>
      <c r="U64" s="32" t="inlineStr">
        <is>
          <t>C&amp;F</t>
        </is>
      </c>
      <c r="V64" s="32" t="inlineStr">
        <is>
          <t>JPY</t>
        </is>
      </c>
      <c r="W64" s="33"/>
      <c r="X64" s="34" t="n">
        <f>INT(AZ64)</f>
        <v>0.0</v>
      </c>
      <c r="Y64" s="32" t="inlineStr">
        <is>
          <t>A</t>
        </is>
      </c>
      <c r="Z64" s="32" t="inlineStr">
        <is>
          <t>JPY</t>
        </is>
      </c>
      <c r="AA64" s="32"/>
      <c r="AB64" s="32" t="inlineStr">
        <is>
          <t>CN</t>
        </is>
      </c>
      <c r="AD64" s="27" t="inlineStr">
        <is>
          <t>桜井 幸夫 [サクライ ユキオ]</t>
        </is>
      </c>
      <c r="AE64" s="7" t="n">
        <f>AU64&amp;AV64&amp;AW64&amp;BD64</f>
        <v>0.0</v>
      </c>
      <c r="AF64" s="7" t="inlineStr">
        <is>
          <t>045-851-7288</t>
        </is>
      </c>
      <c r="AG64" s="7" t="inlineStr">
        <is>
          <t>245-0063</t>
        </is>
      </c>
      <c r="AH64" s="7" t="inlineStr">
        <is>
          <t>楽天-Rumay-D</t>
        </is>
      </c>
      <c r="AI64" s="7" t="n">
        <f>BB64&amp;BC64&amp;BA64</f>
        <v>0.0</v>
      </c>
      <c r="AJ64" s="7" t="inlineStr">
        <is>
          <t xml:space="preserve"> 072-703-4761</t>
        </is>
      </c>
      <c r="AK64" s="39" t="inlineStr">
        <is>
          <t>C</t>
        </is>
      </c>
      <c r="AL64" s="39" t="n">
        <v>1.0</v>
      </c>
      <c r="AM64" s="27" t="n">
        <f>IF(OR(ISNUMBER(SEARCH("amazon",AH64)),ISNUMBER(SEARCH("亚马逊",AH64))),"PUS001",IF(OR(ISNUMBER(SEARCH("rakuten",AH64)),ISNUMBER(SEARCH("楽天",AH64)),ISNUMBER(SEARCH("乐天",AH64))),"PJP001",IF(ISNUMBER(SEARCH("tik tok shop",AH64)),"PSG003",IF(ISNUMBER(SEARCH("temu",AH64)),"PSG001",IF(ISNUMBER(SEARCH("shein",AH64)),"JSG001",IF(OR(ISNUMBER(SEARCH("yahoo",AH64)),ISNUMBER(SEARCH("雅虎",AH64)),ISNUMBER(SEARCH("雅",AH64)),LEFT(UPPER(AH64),1)="Y"),"PJP005",IF(ISNUMBER(SEARCH("DDA JAPAN",AH64)),CHOOSE(RANDBETWEEN(1,3),"temu","PSG003","PSG001"),"JCNZZZ")))))))</f>
        <v>0.0</v>
      </c>
      <c r="AN64" s="7" t="n">
        <f>IF(ISNUMBER(SEARCH("JCNZZZ",AM64)),CHOOSE(RANDBETWEEN(1,4),"TAOBAO0","JinDdong","PingDduoDduo","ALIBABA"),"")</f>
        <v>0.0</v>
      </c>
      <c r="AU64" s="7" t="inlineStr">
        <is>
          <t>神奈川県</t>
        </is>
      </c>
      <c r="AV64" s="7" t="inlineStr">
        <is>
          <t>横浜市戸塚区</t>
        </is>
      </c>
      <c r="AW64" s="7" t="inlineStr">
        <is>
          <t>原宿1-47-4</t>
        </is>
      </c>
      <c r="AX64" s="7" t="inlineStr">
        <is>
          <t>fitness belt</t>
        </is>
      </c>
      <c r="AY64" s="7" t="inlineStr">
        <is>
          <t>ABS</t>
        </is>
      </c>
      <c r="AZ64" s="7" t="n">
        <v>11.0</v>
      </c>
      <c r="BA64" s="7" t="inlineStr">
        <is>
          <t xml:space="preserve"> 中央区内本町2‐3‐8　ダイアパレスビル本町 1006ミズイシテクノロジー</t>
        </is>
      </c>
      <c r="BB64" s="7"/>
      <c r="BC64" s="7"/>
      <c r="BD64" s="7"/>
    </row>
    <row r="65" customHeight="true" ht="33.0">
      <c r="A65" s="13" t="inlineStr">
        <is>
          <t>DIDA</t>
        </is>
      </c>
      <c r="B65" s="14"/>
      <c r="C65" s="15" t="inlineStr">
        <is>
          <t>365027472165</t>
        </is>
      </c>
      <c r="D65" s="15" t="inlineStr">
        <is>
          <t>365027472165</t>
        </is>
      </c>
      <c r="E65" s="7" t="n">
        <v>1.0</v>
      </c>
      <c r="F65" s="11" t="n">
        <v>1.97</v>
      </c>
      <c r="G65" s="7" t="inlineStr">
        <is>
          <t>KGM</t>
        </is>
      </c>
      <c r="H65" s="16" t="n">
        <f>UPPER(AX65)</f>
        <v>0.0</v>
      </c>
      <c r="I65" s="16" t="n">
        <f>UPPER(AY65)</f>
        <v>0.0</v>
      </c>
      <c r="J65" s="16" t="inlineStr">
        <is>
          <t>楓 後藤</t>
        </is>
      </c>
      <c r="K65" s="25" t="n">
        <f>UPPER(J65)</f>
        <v>0.0</v>
      </c>
      <c r="L65" s="25"/>
      <c r="M65" s="26" t="n">
        <f>AU65&amp;AV65&amp;AW65&amp;BD65</f>
        <v>0.0</v>
      </c>
      <c r="N65" s="27" t="n">
        <f>UPPER(M65)</f>
        <v>0.0</v>
      </c>
      <c r="O65" s="28" t="n">
        <f>MID(N65,MIN(IFERROR(FIND({0,1,2,3,4,5,6,7,8,9},N65),LEN(N65)+1)),LEN(N65))</f>
        <v>0.0</v>
      </c>
      <c r="P65" s="28" t="n">
        <f>L65&amp;" "&amp;O65</f>
        <v>0.0</v>
      </c>
      <c r="Q65" s="27" t="inlineStr">
        <is>
          <t>804-0011</t>
        </is>
      </c>
      <c r="R65" s="30" t="inlineStr">
        <is>
          <t>08017598887</t>
        </is>
      </c>
      <c r="S65" s="31" t="inlineStr">
        <is>
          <t xml:space="preserve">HUI ZHOU JING SHAN GONG MAO YOU XIAN GONG SI </t>
        </is>
      </c>
      <c r="T65" s="31" t="inlineStr">
        <is>
          <t>GUANG DONG SHENG HUI ZHOU SHI HUI CHENG QU QIAO DONG JIE DAO HUI ZHOU SHI HUI ZHOU DA DAO 108 HAO</t>
        </is>
      </c>
      <c r="U65" s="32" t="inlineStr">
        <is>
          <t>C&amp;F</t>
        </is>
      </c>
      <c r="V65" s="32" t="inlineStr">
        <is>
          <t>JPY</t>
        </is>
      </c>
      <c r="W65" s="33"/>
      <c r="X65" s="34" t="n">
        <f>INT(AZ65)</f>
        <v>0.0</v>
      </c>
      <c r="Y65" s="32" t="inlineStr">
        <is>
          <t>A</t>
        </is>
      </c>
      <c r="Z65" s="32" t="inlineStr">
        <is>
          <t>JPY</t>
        </is>
      </c>
      <c r="AA65" s="32"/>
      <c r="AB65" s="32" t="inlineStr">
        <is>
          <t>CN</t>
        </is>
      </c>
      <c r="AD65" s="27" t="inlineStr">
        <is>
          <t>楓 後藤</t>
        </is>
      </c>
      <c r="AE65" s="7" t="n">
        <f>AU65&amp;AV65&amp;AW65&amp;BD65</f>
        <v>0.0</v>
      </c>
      <c r="AF65" s="7" t="inlineStr">
        <is>
          <t>08017598887</t>
        </is>
      </c>
      <c r="AG65" s="7" t="inlineStr">
        <is>
          <t>804-0011</t>
        </is>
      </c>
      <c r="AH65" s="7"/>
      <c r="AI65" s="7" t="n">
        <f>BB65&amp;BC65&amp;BA65</f>
        <v>0.0</v>
      </c>
      <c r="AJ65" s="7" t="inlineStr">
        <is>
          <t xml:space="preserve"> </t>
        </is>
      </c>
      <c r="AK65" s="39" t="inlineStr">
        <is>
          <t>C</t>
        </is>
      </c>
      <c r="AL65" s="39" t="n">
        <v>1.0</v>
      </c>
      <c r="AM65" s="27" t="n">
        <f>IF(OR(ISNUMBER(SEARCH("amazon",AH65)),ISNUMBER(SEARCH("亚马逊",AH65))),"PUS001",IF(OR(ISNUMBER(SEARCH("rakuten",AH65)),ISNUMBER(SEARCH("楽天",AH65)),ISNUMBER(SEARCH("乐天",AH65))),"PJP001",IF(ISNUMBER(SEARCH("tik tok shop",AH65)),"PSG003",IF(ISNUMBER(SEARCH("temu",AH65)),"PSG001",IF(ISNUMBER(SEARCH("shein",AH65)),"JSG001",IF(OR(ISNUMBER(SEARCH("yahoo",AH65)),ISNUMBER(SEARCH("雅虎",AH65)),ISNUMBER(SEARCH("雅",AH65)),LEFT(UPPER(AH65),1)="Y"),"PJP005",IF(ISNUMBER(SEARCH("DDA JAPAN",AH65)),CHOOSE(RANDBETWEEN(1,3),"temu","PSG003","PSG001"),"JCNZZZ")))))))</f>
        <v>0.0</v>
      </c>
      <c r="AN65" s="7" t="n">
        <f>IF(ISNUMBER(SEARCH("JCNZZZ",AM65)),CHOOSE(RANDBETWEEN(1,4),"TAOBAO0","JinDdong","PingDduoDduo","ALIBABA"),"")</f>
        <v>0.0</v>
      </c>
      <c r="AU65" s="7"/>
      <c r="AV65" s="7"/>
      <c r="AW65" s="7" t="inlineStr">
        <is>
          <t>福岡県 城市 北九州市戸畑区中原西 地址 1-11-6</t>
        </is>
      </c>
      <c r="AX65" s="7" t="inlineStr">
        <is>
          <t>plastic toys</t>
        </is>
      </c>
      <c r="AY65" s="7" t="inlineStr">
        <is>
          <t>ABS</t>
        </is>
      </c>
      <c r="AZ65" s="7" t="n">
        <v>12.8</v>
      </c>
      <c r="BA65" s="7" t="inlineStr">
        <is>
          <t xml:space="preserve"> </t>
        </is>
      </c>
      <c r="BB65" s="7"/>
      <c r="BC65" s="7"/>
      <c r="BD65" s="7"/>
    </row>
    <row r="66" customHeight="true" ht="33.0">
      <c r="A66" s="13" t="inlineStr">
        <is>
          <t>DIDA</t>
        </is>
      </c>
      <c r="B66" s="14"/>
      <c r="C66" s="15" t="inlineStr">
        <is>
          <t>365027469925</t>
        </is>
      </c>
      <c r="D66" s="15" t="inlineStr">
        <is>
          <t>365027469925</t>
        </is>
      </c>
      <c r="E66" s="7" t="n">
        <v>1.0</v>
      </c>
      <c r="F66" s="11" t="n">
        <v>3.77</v>
      </c>
      <c r="G66" s="7" t="inlineStr">
        <is>
          <t>KGM</t>
        </is>
      </c>
      <c r="H66" s="16" t="n">
        <f>UPPER(AX66)</f>
        <v>0.0</v>
      </c>
      <c r="I66" s="16" t="n">
        <f>UPPER(AY66)</f>
        <v>0.0</v>
      </c>
      <c r="J66" s="16" t="inlineStr">
        <is>
          <t>安达翔</t>
        </is>
      </c>
      <c r="K66" s="25" t="n">
        <f>UPPER(J66)</f>
        <v>0.0</v>
      </c>
      <c r="L66" s="25"/>
      <c r="M66" s="26" t="n">
        <f>AU66&amp;AV66&amp;AW66&amp;BD66</f>
        <v>0.0</v>
      </c>
      <c r="N66" s="27" t="n">
        <f>UPPER(M66)</f>
        <v>0.0</v>
      </c>
      <c r="O66" s="28" t="n">
        <f>MID(N66,MIN(IFERROR(FIND({0,1,2,3,4,5,6,7,8,9},N66),LEN(N66)+1)),LEN(N66))</f>
        <v>0.0</v>
      </c>
      <c r="P66" s="28" t="n">
        <f>L66&amp;" "&amp;O66</f>
        <v>0.0</v>
      </c>
      <c r="Q66" s="27" t="inlineStr">
        <is>
          <t>350-1317</t>
        </is>
      </c>
      <c r="R66" s="30" t="inlineStr">
        <is>
          <t>08059682833</t>
        </is>
      </c>
      <c r="S66" s="31" t="inlineStr">
        <is>
          <t xml:space="preserve">HUI ZHOU JING SHAN GONG MAO YOU XIAN GONG SI </t>
        </is>
      </c>
      <c r="T66" s="31" t="inlineStr">
        <is>
          <t>GUANG DONG SHENG HUI ZHOU SHI HUI CHENG QU QIAO DONG JIE DAO HUI ZHOU SHI HUI ZHOU DA DAO 108 HAO</t>
        </is>
      </c>
      <c r="U66" s="32" t="inlineStr">
        <is>
          <t>C&amp;F</t>
        </is>
      </c>
      <c r="V66" s="32" t="inlineStr">
        <is>
          <t>JPY</t>
        </is>
      </c>
      <c r="W66" s="33"/>
      <c r="X66" s="34" t="n">
        <f>INT(AZ66)</f>
        <v>0.0</v>
      </c>
      <c r="Y66" s="32" t="inlineStr">
        <is>
          <t>A</t>
        </is>
      </c>
      <c r="Z66" s="32" t="inlineStr">
        <is>
          <t>JPY</t>
        </is>
      </c>
      <c r="AA66" s="32"/>
      <c r="AB66" s="32" t="inlineStr">
        <is>
          <t>CN</t>
        </is>
      </c>
      <c r="AD66" s="27" t="inlineStr">
        <is>
          <t>安达翔</t>
        </is>
      </c>
      <c r="AE66" s="7" t="n">
        <f>AU66&amp;AV66&amp;AW66&amp;BD66</f>
        <v>0.0</v>
      </c>
      <c r="AF66" s="7" t="inlineStr">
        <is>
          <t>08059682833</t>
        </is>
      </c>
      <c r="AG66" s="7" t="inlineStr">
        <is>
          <t>350-1317</t>
        </is>
      </c>
      <c r="AH66" s="7"/>
      <c r="AI66" s="7" t="n">
        <f>BB66&amp;BC66&amp;BA66</f>
        <v>0.0</v>
      </c>
      <c r="AJ66" s="7" t="inlineStr">
        <is>
          <t xml:space="preserve"> </t>
        </is>
      </c>
      <c r="AK66" s="39" t="inlineStr">
        <is>
          <t>C</t>
        </is>
      </c>
      <c r="AL66" s="39" t="n">
        <v>1.0</v>
      </c>
      <c r="AM66" s="27" t="n">
        <f>IF(OR(ISNUMBER(SEARCH("amazon",AH66)),ISNUMBER(SEARCH("亚马逊",AH66))),"PUS001",IF(OR(ISNUMBER(SEARCH("rakuten",AH66)),ISNUMBER(SEARCH("楽天",AH66)),ISNUMBER(SEARCH("乐天",AH66))),"PJP001",IF(ISNUMBER(SEARCH("tik tok shop",AH66)),"PSG003",IF(ISNUMBER(SEARCH("temu",AH66)),"PSG001",IF(ISNUMBER(SEARCH("shein",AH66)),"JSG001",IF(OR(ISNUMBER(SEARCH("yahoo",AH66)),ISNUMBER(SEARCH("雅虎",AH66)),ISNUMBER(SEARCH("雅",AH66)),LEFT(UPPER(AH66),1)="Y"),"PJP005",IF(ISNUMBER(SEARCH("DDA JAPAN",AH66)),CHOOSE(RANDBETWEEN(1,3),"temu","PSG003","PSG001"),"JCNZZZ")))))))</f>
        <v>0.0</v>
      </c>
      <c r="AN66" s="7" t="n">
        <f>IF(ISNUMBER(SEARCH("JCNZZZ",AM66)),CHOOSE(RANDBETWEEN(1,4),"TAOBAO0","JinDdong","PingDduoDduo","ALIBABA"),"")</f>
        <v>0.0</v>
      </c>
      <c r="AU66" s="7"/>
      <c r="AV66" s="7"/>
      <c r="AW66" s="7" t="inlineStr">
        <is>
          <t>埼玉県狭山市大字水野５０７－１</t>
        </is>
      </c>
      <c r="AX66" s="7" t="inlineStr">
        <is>
          <t>plastic toys</t>
        </is>
      </c>
      <c r="AY66" s="7" t="inlineStr">
        <is>
          <t>ABS</t>
        </is>
      </c>
      <c r="AZ66" s="7" t="n">
        <v>12.8</v>
      </c>
      <c r="BA66" s="7" t="inlineStr">
        <is>
          <t xml:space="preserve"> </t>
        </is>
      </c>
      <c r="BB66" s="7"/>
      <c r="BC66" s="7"/>
      <c r="BD66" s="7"/>
    </row>
    <row r="67" customHeight="true" ht="33.0">
      <c r="A67" s="13" t="inlineStr">
        <is>
          <t>DIDA</t>
        </is>
      </c>
      <c r="B67" s="14"/>
      <c r="C67" s="15" t="inlineStr">
        <is>
          <t>365027469855</t>
        </is>
      </c>
      <c r="D67" s="15" t="inlineStr">
        <is>
          <t>365027469855</t>
        </is>
      </c>
      <c r="E67" s="7" t="n">
        <v>1.0</v>
      </c>
      <c r="F67" s="11" t="n">
        <v>3.74</v>
      </c>
      <c r="G67" s="7" t="inlineStr">
        <is>
          <t>KGM</t>
        </is>
      </c>
      <c r="H67" s="16" t="n">
        <f>UPPER(AX67)</f>
        <v>0.0</v>
      </c>
      <c r="I67" s="16" t="n">
        <f>UPPER(AY67)</f>
        <v>0.0</v>
      </c>
      <c r="J67" s="16" t="inlineStr">
        <is>
          <t>安达翔</t>
        </is>
      </c>
      <c r="K67" s="25" t="n">
        <f>UPPER(J67)</f>
        <v>0.0</v>
      </c>
      <c r="L67" s="25"/>
      <c r="M67" s="26" t="n">
        <f>AU67&amp;AV67&amp;AW67&amp;BD67</f>
        <v>0.0</v>
      </c>
      <c r="N67" s="27" t="n">
        <f>UPPER(M67)</f>
        <v>0.0</v>
      </c>
      <c r="O67" s="28" t="n">
        <f>MID(N67,MIN(IFERROR(FIND({0,1,2,3,4,5,6,7,8,9},N67),LEN(N67)+1)),LEN(N67))</f>
        <v>0.0</v>
      </c>
      <c r="P67" s="28" t="n">
        <f>L67&amp;" "&amp;O67</f>
        <v>0.0</v>
      </c>
      <c r="Q67" s="27" t="inlineStr">
        <is>
          <t>350-1317</t>
        </is>
      </c>
      <c r="R67" s="30" t="inlineStr">
        <is>
          <t>08059682833</t>
        </is>
      </c>
      <c r="S67" s="31" t="inlineStr">
        <is>
          <t xml:space="preserve">HUI ZHOU JING SHAN GONG MAO YOU XIAN GONG SI </t>
        </is>
      </c>
      <c r="T67" s="31" t="inlineStr">
        <is>
          <t>GUANG DONG SHENG HUI ZHOU SHI HUI CHENG QU QIAO DONG JIE DAO HUI ZHOU SHI HUI ZHOU DA DAO 108 HAO</t>
        </is>
      </c>
      <c r="U67" s="32" t="inlineStr">
        <is>
          <t>C&amp;F</t>
        </is>
      </c>
      <c r="V67" s="32" t="inlineStr">
        <is>
          <t>JPY</t>
        </is>
      </c>
      <c r="W67" s="33"/>
      <c r="X67" s="34" t="n">
        <f>INT(AZ67)</f>
        <v>0.0</v>
      </c>
      <c r="Y67" s="32" t="inlineStr">
        <is>
          <t>A</t>
        </is>
      </c>
      <c r="Z67" s="32" t="inlineStr">
        <is>
          <t>JPY</t>
        </is>
      </c>
      <c r="AA67" s="32"/>
      <c r="AB67" s="32" t="inlineStr">
        <is>
          <t>CN</t>
        </is>
      </c>
      <c r="AD67" s="27" t="inlineStr">
        <is>
          <t>安达翔</t>
        </is>
      </c>
      <c r="AE67" s="7" t="n">
        <f>AU67&amp;AV67&amp;AW67&amp;BD67</f>
        <v>0.0</v>
      </c>
      <c r="AF67" s="7" t="inlineStr">
        <is>
          <t>08059682833</t>
        </is>
      </c>
      <c r="AG67" s="7" t="inlineStr">
        <is>
          <t>350-1317</t>
        </is>
      </c>
      <c r="AH67" s="7"/>
      <c r="AI67" s="7" t="n">
        <f>BB67&amp;BC67&amp;BA67</f>
        <v>0.0</v>
      </c>
      <c r="AJ67" s="7" t="inlineStr">
        <is>
          <t xml:space="preserve"> </t>
        </is>
      </c>
      <c r="AK67" s="39" t="inlineStr">
        <is>
          <t>C</t>
        </is>
      </c>
      <c r="AL67" s="39" t="n">
        <v>1.0</v>
      </c>
      <c r="AM67" s="27" t="n">
        <f>IF(OR(ISNUMBER(SEARCH("amazon",AH67)),ISNUMBER(SEARCH("亚马逊",AH67))),"PUS001",IF(OR(ISNUMBER(SEARCH("rakuten",AH67)),ISNUMBER(SEARCH("楽天",AH67)),ISNUMBER(SEARCH("乐天",AH67))),"PJP001",IF(ISNUMBER(SEARCH("tik tok shop",AH67)),"PSG003",IF(ISNUMBER(SEARCH("temu",AH67)),"PSG001",IF(ISNUMBER(SEARCH("shein",AH67)),"JSG001",IF(OR(ISNUMBER(SEARCH("yahoo",AH67)),ISNUMBER(SEARCH("雅虎",AH67)),ISNUMBER(SEARCH("雅",AH67)),LEFT(UPPER(AH67),1)="Y"),"PJP005",IF(ISNUMBER(SEARCH("DDA JAPAN",AH67)),CHOOSE(RANDBETWEEN(1,3),"temu","PSG003","PSG001"),"JCNZZZ")))))))</f>
        <v>0.0</v>
      </c>
      <c r="AN67" s="7" t="n">
        <f>IF(ISNUMBER(SEARCH("JCNZZZ",AM67)),CHOOSE(RANDBETWEEN(1,4),"TAOBAO0","JinDdong","PingDduoDduo","ALIBABA"),"")</f>
        <v>0.0</v>
      </c>
      <c r="AU67" s="7"/>
      <c r="AV67" s="7"/>
      <c r="AW67" s="7" t="inlineStr">
        <is>
          <t>埼玉県狭山市大字水野５０７－１</t>
        </is>
      </c>
      <c r="AX67" s="7" t="inlineStr">
        <is>
          <t>FAN</t>
        </is>
      </c>
      <c r="AY67" s="7" t="inlineStr">
        <is>
          <t>ABS</t>
        </is>
      </c>
      <c r="AZ67" s="7" t="n">
        <v>13.8</v>
      </c>
      <c r="BA67" s="7" t="inlineStr">
        <is>
          <t xml:space="preserve"> </t>
        </is>
      </c>
      <c r="BB67" s="7"/>
      <c r="BC67" s="7"/>
      <c r="BD67" s="7"/>
    </row>
    <row r="68" customHeight="true" ht="33.0">
      <c r="A68" s="13" t="inlineStr">
        <is>
          <t>DIDA</t>
        </is>
      </c>
      <c r="B68" s="14"/>
      <c r="C68" s="15" t="inlineStr">
        <is>
          <t>365027492701</t>
        </is>
      </c>
      <c r="D68" s="15" t="inlineStr">
        <is>
          <t>365027492701</t>
        </is>
      </c>
      <c r="E68" s="7" t="n">
        <v>1.0</v>
      </c>
      <c r="F68" s="11" t="n">
        <v>1.73</v>
      </c>
      <c r="G68" s="7" t="inlineStr">
        <is>
          <t>KGM</t>
        </is>
      </c>
      <c r="H68" s="16" t="n">
        <f>UPPER(AX68)</f>
        <v>0.0</v>
      </c>
      <c r="I68" s="16" t="n">
        <f>UPPER(AY68)</f>
        <v>0.0</v>
      </c>
      <c r="J68" s="16" t="inlineStr">
        <is>
          <t>佐久間 美悠菜 [サクマ ミユナ]</t>
        </is>
      </c>
      <c r="K68" s="25" t="n">
        <f>UPPER(J68)</f>
        <v>0.0</v>
      </c>
      <c r="L68" s="25"/>
      <c r="M68" s="26" t="n">
        <f>AU68&amp;AV68&amp;AW68&amp;BD68</f>
        <v>0.0</v>
      </c>
      <c r="N68" s="27" t="n">
        <f>UPPER(M68)</f>
        <v>0.0</v>
      </c>
      <c r="O68" s="28" t="n">
        <f>MID(N68,MIN(IFERROR(FIND({0,1,2,3,4,5,6,7,8,9},N68),LEN(N68)+1)),LEN(N68))</f>
        <v>0.0</v>
      </c>
      <c r="P68" s="28" t="n">
        <f>L68&amp;" "&amp;O68</f>
        <v>0.0</v>
      </c>
      <c r="Q68" s="27" t="inlineStr">
        <is>
          <t>963-0201</t>
        </is>
      </c>
      <c r="R68" s="30" t="inlineStr">
        <is>
          <t>090-6624-3057</t>
        </is>
      </c>
      <c r="S68" s="31" t="inlineStr">
        <is>
          <t xml:space="preserve">HUI ZHOU JING SHAN GONG MAO YOU XIAN GONG SI </t>
        </is>
      </c>
      <c r="T68" s="31" t="inlineStr">
        <is>
          <t>GUANG DONG SHENG HUI ZHOU SHI HUI CHENG QU QIAO DONG JIE DAO HUI ZHOU SHI HUI ZHOU DA DAO 108 HAO</t>
        </is>
      </c>
      <c r="U68" s="32" t="inlineStr">
        <is>
          <t>C&amp;F</t>
        </is>
      </c>
      <c r="V68" s="32" t="inlineStr">
        <is>
          <t>JPY</t>
        </is>
      </c>
      <c r="W68" s="33"/>
      <c r="X68" s="34" t="n">
        <f>INT(AZ68)</f>
        <v>0.0</v>
      </c>
      <c r="Y68" s="32" t="inlineStr">
        <is>
          <t>A</t>
        </is>
      </c>
      <c r="Z68" s="32" t="inlineStr">
        <is>
          <t>JPY</t>
        </is>
      </c>
      <c r="AA68" s="32"/>
      <c r="AB68" s="32" t="inlineStr">
        <is>
          <t>CN</t>
        </is>
      </c>
      <c r="AD68" s="27" t="inlineStr">
        <is>
          <t>佐久間 美悠菜 [サクマ ミユナ]</t>
        </is>
      </c>
      <c r="AE68" s="7" t="n">
        <f>AU68&amp;AV68&amp;AW68&amp;BD68</f>
        <v>0.0</v>
      </c>
      <c r="AF68" s="7" t="inlineStr">
        <is>
          <t>090-6624-3057</t>
        </is>
      </c>
      <c r="AG68" s="7" t="inlineStr">
        <is>
          <t>963-0201</t>
        </is>
      </c>
      <c r="AH68" s="7" t="inlineStr">
        <is>
          <t>楽天-kaneshiro</t>
        </is>
      </c>
      <c r="AI68" s="7" t="n">
        <f>BB68&amp;BC68&amp;BA68</f>
        <v>0.0</v>
      </c>
      <c r="AJ68" s="7" t="inlineStr">
        <is>
          <t xml:space="preserve"> 05030921748</t>
        </is>
      </c>
      <c r="AK68" s="39" t="inlineStr">
        <is>
          <t>C</t>
        </is>
      </c>
      <c r="AL68" s="39" t="n">
        <v>1.0</v>
      </c>
      <c r="AM68" s="27" t="n">
        <f>IF(OR(ISNUMBER(SEARCH("amazon",AH68)),ISNUMBER(SEARCH("亚马逊",AH68))),"PUS001",IF(OR(ISNUMBER(SEARCH("rakuten",AH68)),ISNUMBER(SEARCH("楽天",AH68)),ISNUMBER(SEARCH("乐天",AH68))),"PJP001",IF(ISNUMBER(SEARCH("tik tok shop",AH68)),"PSG003",IF(ISNUMBER(SEARCH("temu",AH68)),"PSG001",IF(ISNUMBER(SEARCH("shein",AH68)),"JSG001",IF(OR(ISNUMBER(SEARCH("yahoo",AH68)),ISNUMBER(SEARCH("雅虎",AH68)),ISNUMBER(SEARCH("雅",AH68)),LEFT(UPPER(AH68),1)="Y"),"PJP005",IF(ISNUMBER(SEARCH("DDA JAPAN",AH68)),CHOOSE(RANDBETWEEN(1,3),"temu","PSG003","PSG001"),"JCNZZZ")))))))</f>
        <v>0.0</v>
      </c>
      <c r="AN68" s="7" t="n">
        <f>IF(ISNUMBER(SEARCH("JCNZZZ",AM68)),CHOOSE(RANDBETWEEN(1,4),"TAOBAO0","JinDdong","PingDduoDduo","ALIBABA"),"")</f>
        <v>0.0</v>
      </c>
      <c r="AU68" s="7" t="inlineStr">
        <is>
          <t>福島県</t>
        </is>
      </c>
      <c r="AV68" s="7" t="inlineStr">
        <is>
          <t>郡山市</t>
        </is>
      </c>
      <c r="AW68" s="7" t="inlineStr">
        <is>
          <t>大槻町字針生北30-5</t>
        </is>
      </c>
      <c r="AX68" s="7" t="inlineStr">
        <is>
          <t>Camping toys,bag</t>
        </is>
      </c>
      <c r="AY68" s="7" t="inlineStr">
        <is>
          <t>プラスチック</t>
        </is>
      </c>
      <c r="AZ68" s="7" t="n">
        <v>5.0</v>
      </c>
      <c r="BA68" s="7" t="inlineStr">
        <is>
          <t xml:space="preserve"> 大阪府大阪市東住吉区住道矢田七丁目１０番１３号</t>
        </is>
      </c>
      <c r="BB68" s="7"/>
      <c r="BC68" s="7"/>
      <c r="BD68" s="7"/>
    </row>
    <row r="69" customHeight="true" ht="33.0">
      <c r="A69" s="13" t="inlineStr">
        <is>
          <t>DIDA</t>
        </is>
      </c>
      <c r="B69" s="14"/>
      <c r="C69" s="15" t="inlineStr">
        <is>
          <t>365027492734</t>
        </is>
      </c>
      <c r="D69" s="15" t="inlineStr">
        <is>
          <t>365027492734</t>
        </is>
      </c>
      <c r="E69" s="7" t="n">
        <v>1.0</v>
      </c>
      <c r="F69" s="11" t="n">
        <v>0.32</v>
      </c>
      <c r="G69" s="7" t="inlineStr">
        <is>
          <t>KGM</t>
        </is>
      </c>
      <c r="H69" s="16" t="n">
        <f>UPPER(AX69)</f>
        <v>0.0</v>
      </c>
      <c r="I69" s="16" t="n">
        <f>UPPER(AY69)</f>
        <v>0.0</v>
      </c>
      <c r="J69" s="16" t="inlineStr">
        <is>
          <t>JEONG EUI KYEOM</t>
        </is>
      </c>
      <c r="K69" s="25" t="n">
        <f>UPPER(J69)</f>
        <v>0.0</v>
      </c>
      <c r="L69" s="25"/>
      <c r="M69" s="26" t="n">
        <f>AU69&amp;AV69&amp;AW69&amp;BD69</f>
        <v>0.0</v>
      </c>
      <c r="N69" s="27" t="n">
        <f>UPPER(M69)</f>
        <v>0.0</v>
      </c>
      <c r="O69" s="28" t="n">
        <f>MID(N69,MIN(IFERROR(FIND({0,1,2,3,4,5,6,7,8,9},N69),LEN(N69)+1)),LEN(N69))</f>
        <v>0.0</v>
      </c>
      <c r="P69" s="28" t="n">
        <f>L69&amp;" "&amp;O69</f>
        <v>0.0</v>
      </c>
      <c r="Q69" s="27" t="inlineStr">
        <is>
          <t>101-0025</t>
        </is>
      </c>
      <c r="R69" s="30" t="inlineStr">
        <is>
          <t>070-9111-3307</t>
        </is>
      </c>
      <c r="S69" s="31" t="inlineStr">
        <is>
          <t xml:space="preserve">HUI ZHOU JING SHAN GONG MAO YOU XIAN GONG SI </t>
        </is>
      </c>
      <c r="T69" s="31" t="inlineStr">
        <is>
          <t>GUANG DONG SHENG HUI ZHOU SHI HUI CHENG QU QIAO DONG JIE DAO HUI ZHOU SHI HUI ZHOU DA DAO 108 HAO</t>
        </is>
      </c>
      <c r="U69" s="32" t="inlineStr">
        <is>
          <t>C&amp;F</t>
        </is>
      </c>
      <c r="V69" s="32" t="inlineStr">
        <is>
          <t>JPY</t>
        </is>
      </c>
      <c r="W69" s="33"/>
      <c r="X69" s="34" t="n">
        <f>INT(AZ69)</f>
        <v>0.0</v>
      </c>
      <c r="Y69" s="32" t="inlineStr">
        <is>
          <t>A</t>
        </is>
      </c>
      <c r="Z69" s="32" t="inlineStr">
        <is>
          <t>JPY</t>
        </is>
      </c>
      <c r="AA69" s="32"/>
      <c r="AB69" s="32" t="inlineStr">
        <is>
          <t>CN</t>
        </is>
      </c>
      <c r="AD69" s="27" t="inlineStr">
        <is>
          <t>JEONG EUI KYEOM</t>
        </is>
      </c>
      <c r="AE69" s="7" t="n">
        <f>AU69&amp;AV69&amp;AW69&amp;BD69</f>
        <v>0.0</v>
      </c>
      <c r="AF69" s="7" t="inlineStr">
        <is>
          <t>070-9111-3307</t>
        </is>
      </c>
      <c r="AG69" s="7" t="inlineStr">
        <is>
          <t>101-0025</t>
        </is>
      </c>
      <c r="AH69" s="7" t="inlineStr">
        <is>
          <t>ジョシュミル</t>
        </is>
      </c>
      <c r="AI69" s="7" t="n">
        <f>BB69&amp;BC69&amp;BA69</f>
        <v>0.0</v>
      </c>
      <c r="AJ69" s="7" t="inlineStr">
        <is>
          <t xml:space="preserve"> 050-3092-1704</t>
        </is>
      </c>
      <c r="AK69" s="39" t="inlineStr">
        <is>
          <t>C</t>
        </is>
      </c>
      <c r="AL69" s="39" t="n">
        <v>1.0</v>
      </c>
      <c r="AM69" s="27" t="n">
        <f>IF(OR(ISNUMBER(SEARCH("amazon",AH69)),ISNUMBER(SEARCH("亚马逊",AH69))),"PUS001",IF(OR(ISNUMBER(SEARCH("rakuten",AH69)),ISNUMBER(SEARCH("楽天",AH69)),ISNUMBER(SEARCH("乐天",AH69))),"PJP001",IF(ISNUMBER(SEARCH("tik tok shop",AH69)),"PSG003",IF(ISNUMBER(SEARCH("temu",AH69)),"PSG001",IF(ISNUMBER(SEARCH("shein",AH69)),"JSG001",IF(OR(ISNUMBER(SEARCH("yahoo",AH69)),ISNUMBER(SEARCH("雅虎",AH69)),ISNUMBER(SEARCH("雅",AH69)),LEFT(UPPER(AH69),1)="Y"),"PJP005",IF(ISNUMBER(SEARCH("DDA JAPAN",AH69)),CHOOSE(RANDBETWEEN(1,3),"temu","PSG003","PSG001"),"JCNZZZ")))))))</f>
        <v>0.0</v>
      </c>
      <c r="AN69" s="7" t="n">
        <f>IF(ISNUMBER(SEARCH("JCNZZZ",AM69)),CHOOSE(RANDBETWEEN(1,4),"TAOBAO0","JinDdong","PingDduoDduo","ALIBABA"),"")</f>
        <v>0.0</v>
      </c>
      <c r="AU69" s="7" t="inlineStr">
        <is>
          <t>東京都</t>
        </is>
      </c>
      <c r="AV69" s="7" t="inlineStr">
        <is>
          <t>千代田区神田佐久間4-15-1</t>
        </is>
      </c>
      <c r="AW69" s="7" t="inlineStr">
        <is>
          <t>PREMIUM CUBE 秋葉原1301号</t>
        </is>
      </c>
      <c r="AX69" s="7" t="inlineStr">
        <is>
          <t>Cleaning supplies</t>
        </is>
      </c>
      <c r="AY69" s="7" t="inlineStr">
        <is>
          <t>PC</t>
        </is>
      </c>
      <c r="AZ69" s="7" t="n">
        <v>14.0</v>
      </c>
      <c r="BA69" s="7" t="inlineStr">
        <is>
          <t xml:space="preserve"> 山形県山形市上町２－９－５</t>
        </is>
      </c>
      <c r="BB69" s="7"/>
      <c r="BC69" s="7"/>
      <c r="BD69" s="7"/>
    </row>
    <row r="70" customHeight="true" ht="33.0">
      <c r="A70" s="13" t="inlineStr">
        <is>
          <t>DIDA</t>
        </is>
      </c>
      <c r="B70" s="14"/>
      <c r="C70" s="15" t="inlineStr">
        <is>
          <t>365027492970</t>
        </is>
      </c>
      <c r="D70" s="15" t="inlineStr">
        <is>
          <t>365027492970</t>
        </is>
      </c>
      <c r="E70" s="7" t="n">
        <v>1.0</v>
      </c>
      <c r="F70" s="11" t="n">
        <v>0.44</v>
      </c>
      <c r="G70" s="7" t="inlineStr">
        <is>
          <t>KGM</t>
        </is>
      </c>
      <c r="H70" s="16" t="n">
        <f>UPPER(AX70)</f>
        <v>0.0</v>
      </c>
      <c r="I70" s="16" t="n">
        <f>UPPER(AY70)</f>
        <v>0.0</v>
      </c>
      <c r="J70" s="16" t="inlineStr">
        <is>
          <t>安居 彰子</t>
        </is>
      </c>
      <c r="K70" s="25" t="n">
        <f>UPPER(J70)</f>
        <v>0.0</v>
      </c>
      <c r="L70" s="25"/>
      <c r="M70" s="26" t="n">
        <f>AU70&amp;AV70&amp;AW70&amp;BD70</f>
        <v>0.0</v>
      </c>
      <c r="N70" s="27" t="n">
        <f>UPPER(M70)</f>
        <v>0.0</v>
      </c>
      <c r="O70" s="28" t="n">
        <f>MID(N70,MIN(IFERROR(FIND({0,1,2,3,4,5,6,7,8,9},N70),LEN(N70)+1)),LEN(N70))</f>
        <v>0.0</v>
      </c>
      <c r="P70" s="28" t="n">
        <f>L70&amp;" "&amp;O70</f>
        <v>0.0</v>
      </c>
      <c r="Q70" s="27" t="inlineStr">
        <is>
          <t>145-0071</t>
        </is>
      </c>
      <c r="R70" s="30" t="inlineStr">
        <is>
          <t>03-3722-8488</t>
        </is>
      </c>
      <c r="S70" s="31" t="inlineStr">
        <is>
          <t xml:space="preserve">HUI ZHOU JING SHAN GONG MAO YOU XIAN GONG SI </t>
        </is>
      </c>
      <c r="T70" s="31" t="inlineStr">
        <is>
          <t>GUANG DONG SHENG HUI ZHOU SHI HUI CHENG QU QIAO DONG JIE DAO HUI ZHOU SHI HUI ZHOU DA DAO 108 HAO</t>
        </is>
      </c>
      <c r="U70" s="32" t="inlineStr">
        <is>
          <t>C&amp;F</t>
        </is>
      </c>
      <c r="V70" s="32" t="inlineStr">
        <is>
          <t>JPY</t>
        </is>
      </c>
      <c r="W70" s="33"/>
      <c r="X70" s="34" t="n">
        <f>INT(AZ70)</f>
        <v>0.0</v>
      </c>
      <c r="Y70" s="32" t="inlineStr">
        <is>
          <t>A</t>
        </is>
      </c>
      <c r="Z70" s="32" t="inlineStr">
        <is>
          <t>JPY</t>
        </is>
      </c>
      <c r="AA70" s="32"/>
      <c r="AB70" s="32" t="inlineStr">
        <is>
          <t>CN</t>
        </is>
      </c>
      <c r="AD70" s="27" t="inlineStr">
        <is>
          <t>安居 彰子</t>
        </is>
      </c>
      <c r="AE70" s="7" t="n">
        <f>AU70&amp;AV70&amp;AW70&amp;BD70</f>
        <v>0.0</v>
      </c>
      <c r="AF70" s="7" t="inlineStr">
        <is>
          <t>03-3722-8488</t>
        </is>
      </c>
      <c r="AG70" s="7" t="inlineStr">
        <is>
          <t>145-0071</t>
        </is>
      </c>
      <c r="AH70" s="7" t="inlineStr">
        <is>
          <t>JETMILLIO楽天市場店</t>
        </is>
      </c>
      <c r="AI70" s="7" t="n">
        <f>BB70&amp;BC70&amp;BA70</f>
        <v>0.0</v>
      </c>
      <c r="AJ70" s="7" t="inlineStr">
        <is>
          <t xml:space="preserve"> 050-3181-9787</t>
        </is>
      </c>
      <c r="AK70" s="39" t="inlineStr">
        <is>
          <t>C</t>
        </is>
      </c>
      <c r="AL70" s="39" t="n">
        <v>1.0</v>
      </c>
      <c r="AM70" s="27" t="n">
        <f>IF(OR(ISNUMBER(SEARCH("amazon",AH70)),ISNUMBER(SEARCH("亚马逊",AH70))),"PUS001",IF(OR(ISNUMBER(SEARCH("rakuten",AH70)),ISNUMBER(SEARCH("楽天",AH70)),ISNUMBER(SEARCH("乐天",AH70))),"PJP001",IF(ISNUMBER(SEARCH("tik tok shop",AH70)),"PSG003",IF(ISNUMBER(SEARCH("temu",AH70)),"PSG001",IF(ISNUMBER(SEARCH("shein",AH70)),"JSG001",IF(OR(ISNUMBER(SEARCH("yahoo",AH70)),ISNUMBER(SEARCH("雅虎",AH70)),ISNUMBER(SEARCH("雅",AH70)),LEFT(UPPER(AH70),1)="Y"),"PJP005",IF(ISNUMBER(SEARCH("DDA JAPAN",AH70)),CHOOSE(RANDBETWEEN(1,3),"temu","PSG003","PSG001"),"JCNZZZ")))))))</f>
        <v>0.0</v>
      </c>
      <c r="AN70" s="7" t="n">
        <f>IF(ISNUMBER(SEARCH("JCNZZZ",AM70)),CHOOSE(RANDBETWEEN(1,4),"TAOBAO0","JinDdong","PingDduoDduo","ALIBABA"),"")</f>
        <v>0.0</v>
      </c>
      <c r="AU70" s="7" t="inlineStr">
        <is>
          <t>東京都</t>
        </is>
      </c>
      <c r="AV70" s="7" t="inlineStr">
        <is>
          <t>大田区</t>
        </is>
      </c>
      <c r="AW70" s="7" t="inlineStr">
        <is>
          <t>田園調布5-50-6</t>
        </is>
      </c>
      <c r="AX70" s="7" t="inlineStr">
        <is>
          <t>lamp</t>
        </is>
      </c>
      <c r="AY70" s="7" t="inlineStr">
        <is>
          <t>Stainless steel</t>
        </is>
      </c>
      <c r="AZ70" s="7" t="n">
        <v>17.0</v>
      </c>
      <c r="BA70" s="7" t="inlineStr">
        <is>
          <t xml:space="preserve"> 東京都大田区上池台３－２４－１４スターハイツ洗足池２　２０２</t>
        </is>
      </c>
      <c r="BB70" s="7"/>
      <c r="BC70" s="7"/>
      <c r="BD70" s="7"/>
    </row>
    <row r="71" customHeight="true" ht="33.0">
      <c r="A71" s="13" t="inlineStr">
        <is>
          <t>DIDA</t>
        </is>
      </c>
      <c r="B71" s="14"/>
      <c r="C71" s="15" t="inlineStr">
        <is>
          <t>365027493386</t>
        </is>
      </c>
      <c r="D71" s="15" t="inlineStr">
        <is>
          <t>365027493386</t>
        </is>
      </c>
      <c r="E71" s="7" t="n">
        <v>1.0</v>
      </c>
      <c r="F71" s="11" t="n">
        <v>1.24</v>
      </c>
      <c r="G71" s="7" t="inlineStr">
        <is>
          <t>KGM</t>
        </is>
      </c>
      <c r="H71" s="16" t="n">
        <f>UPPER(AX71)</f>
        <v>0.0</v>
      </c>
      <c r="I71" s="16" t="n">
        <f>UPPER(AY71)</f>
        <v>0.0</v>
      </c>
      <c r="J71" s="16" t="inlineStr">
        <is>
          <t>隈井 慶 [クマイ ケイ]</t>
        </is>
      </c>
      <c r="K71" s="25" t="n">
        <f>UPPER(J71)</f>
        <v>0.0</v>
      </c>
      <c r="L71" s="25"/>
      <c r="M71" s="26" t="n">
        <f>AU71&amp;AV71&amp;AW71&amp;BD71</f>
        <v>0.0</v>
      </c>
      <c r="N71" s="27" t="n">
        <f>UPPER(M71)</f>
        <v>0.0</v>
      </c>
      <c r="O71" s="28" t="n">
        <f>MID(N71,MIN(IFERROR(FIND({0,1,2,3,4,5,6,7,8,9},N71),LEN(N71)+1)),LEN(N71))</f>
        <v>0.0</v>
      </c>
      <c r="P71" s="28" t="n">
        <f>L71&amp;" "&amp;O71</f>
        <v>0.0</v>
      </c>
      <c r="Q71" s="27" t="inlineStr">
        <is>
          <t>252-0804</t>
        </is>
      </c>
      <c r="R71" s="30" t="inlineStr">
        <is>
          <t>080-5385-4790</t>
        </is>
      </c>
      <c r="S71" s="31" t="inlineStr">
        <is>
          <t xml:space="preserve">HUI ZHOU JING SHAN GONG MAO YOU XIAN GONG SI </t>
        </is>
      </c>
      <c r="T71" s="31" t="inlineStr">
        <is>
          <t>GUANG DONG SHENG HUI ZHOU SHI HUI CHENG QU QIAO DONG JIE DAO HUI ZHOU SHI HUI ZHOU DA DAO 108 HAO</t>
        </is>
      </c>
      <c r="U71" s="32" t="inlineStr">
        <is>
          <t>C&amp;F</t>
        </is>
      </c>
      <c r="V71" s="32" t="inlineStr">
        <is>
          <t>JPY</t>
        </is>
      </c>
      <c r="W71" s="33"/>
      <c r="X71" s="34" t="n">
        <f>INT(AZ71)</f>
        <v>0.0</v>
      </c>
      <c r="Y71" s="32" t="inlineStr">
        <is>
          <t>A</t>
        </is>
      </c>
      <c r="Z71" s="32" t="inlineStr">
        <is>
          <t>JPY</t>
        </is>
      </c>
      <c r="AA71" s="32"/>
      <c r="AB71" s="32" t="inlineStr">
        <is>
          <t>CN</t>
        </is>
      </c>
      <c r="AD71" s="27" t="inlineStr">
        <is>
          <t>隈井 慶 [クマイ ケイ]</t>
        </is>
      </c>
      <c r="AE71" s="7" t="n">
        <f>AU71&amp;AV71&amp;AW71&amp;BD71</f>
        <v>0.0</v>
      </c>
      <c r="AF71" s="7" t="inlineStr">
        <is>
          <t>080-5385-4790</t>
        </is>
      </c>
      <c r="AG71" s="7" t="inlineStr">
        <is>
          <t>252-0804</t>
        </is>
      </c>
      <c r="AH71" s="7" t="inlineStr">
        <is>
          <t>楽天-SUTAIRU-D</t>
        </is>
      </c>
      <c r="AI71" s="7" t="n">
        <f>BB71&amp;BC71&amp;BA71</f>
        <v>0.0</v>
      </c>
      <c r="AJ71" s="7" t="inlineStr">
        <is>
          <t xml:space="preserve"> 070-1432-7896</t>
        </is>
      </c>
      <c r="AK71" s="39" t="inlineStr">
        <is>
          <t>C</t>
        </is>
      </c>
      <c r="AL71" s="39" t="n">
        <v>1.0</v>
      </c>
      <c r="AM71" s="27" t="n">
        <f>IF(OR(ISNUMBER(SEARCH("amazon",AH71)),ISNUMBER(SEARCH("亚马逊",AH71))),"PUS001",IF(OR(ISNUMBER(SEARCH("rakuten",AH71)),ISNUMBER(SEARCH("楽天",AH71)),ISNUMBER(SEARCH("乐天",AH71))),"PJP001",IF(ISNUMBER(SEARCH("tik tok shop",AH71)),"PSG003",IF(ISNUMBER(SEARCH("temu",AH71)),"PSG001",IF(ISNUMBER(SEARCH("shein",AH71)),"JSG001",IF(OR(ISNUMBER(SEARCH("yahoo",AH71)),ISNUMBER(SEARCH("雅虎",AH71)),ISNUMBER(SEARCH("雅",AH71)),LEFT(UPPER(AH71),1)="Y"),"PJP005",IF(ISNUMBER(SEARCH("DDA JAPAN",AH71)),CHOOSE(RANDBETWEEN(1,3),"temu","PSG003","PSG001"),"JCNZZZ")))))))</f>
        <v>0.0</v>
      </c>
      <c r="AN71" s="7" t="n">
        <f>IF(ISNUMBER(SEARCH("JCNZZZ",AM71)),CHOOSE(RANDBETWEEN(1,4),"TAOBAO0","JinDdong","PingDduoDduo","ALIBABA"),"")</f>
        <v>0.0</v>
      </c>
      <c r="AU71" s="7" t="inlineStr">
        <is>
          <t>神奈川県</t>
        </is>
      </c>
      <c r="AV71" s="7" t="inlineStr">
        <is>
          <t>藤沢市</t>
        </is>
      </c>
      <c r="AW71" s="7" t="inlineStr">
        <is>
          <t>湘南台1-21-18-301</t>
        </is>
      </c>
      <c r="AX71" s="7" t="inlineStr">
        <is>
          <t>Makeup Mirror</t>
        </is>
      </c>
      <c r="AY71" s="7" t="inlineStr">
        <is>
          <t>Glass</t>
        </is>
      </c>
      <c r="AZ71" s="7" t="n">
        <v>16.4</v>
      </c>
      <c r="BA71" s="7" t="inlineStr">
        <is>
          <t xml:space="preserve"> 内本町2‐3‐8</t>
        </is>
      </c>
      <c r="BB71" s="7"/>
      <c r="BC71" s="7"/>
      <c r="BD71" s="7"/>
    </row>
    <row r="72" customHeight="true" ht="33.0">
      <c r="A72" s="13" t="inlineStr">
        <is>
          <t>DIDA</t>
        </is>
      </c>
      <c r="B72" s="14"/>
      <c r="C72" s="15" t="inlineStr">
        <is>
          <t>365027492896</t>
        </is>
      </c>
      <c r="D72" s="15" t="inlineStr">
        <is>
          <t>365027492896</t>
        </is>
      </c>
      <c r="E72" s="7" t="n">
        <v>1.0</v>
      </c>
      <c r="F72" s="11" t="n">
        <v>0.3</v>
      </c>
      <c r="G72" s="7" t="inlineStr">
        <is>
          <t>KGM</t>
        </is>
      </c>
      <c r="H72" s="16" t="n">
        <f>UPPER(AX72)</f>
        <v>0.0</v>
      </c>
      <c r="I72" s="16" t="n">
        <f>UPPER(AY72)</f>
        <v>0.0</v>
      </c>
      <c r="J72" s="16" t="inlineStr">
        <is>
          <t>江尻 知穂</t>
        </is>
      </c>
      <c r="K72" s="25" t="n">
        <f>UPPER(J72)</f>
        <v>0.0</v>
      </c>
      <c r="L72" s="25"/>
      <c r="M72" s="26" t="n">
        <f>AU72&amp;AV72&amp;AW72&amp;BD72</f>
        <v>0.0</v>
      </c>
      <c r="N72" s="27" t="n">
        <f>UPPER(M72)</f>
        <v>0.0</v>
      </c>
      <c r="O72" s="28" t="n">
        <f>MID(N72,MIN(IFERROR(FIND({0,1,2,3,4,5,6,7,8,9},N72),LEN(N72)+1)),LEN(N72))</f>
        <v>0.0</v>
      </c>
      <c r="P72" s="28" t="n">
        <f>L72&amp;" "&amp;O72</f>
        <v>0.0</v>
      </c>
      <c r="Q72" s="27" t="inlineStr">
        <is>
          <t>464-0013</t>
        </is>
      </c>
      <c r="R72" s="30" t="inlineStr">
        <is>
          <t>070-2216-7412</t>
        </is>
      </c>
      <c r="S72" s="31" t="inlineStr">
        <is>
          <t xml:space="preserve">HUI ZHOU JING SHAN GONG MAO YOU XIAN GONG SI </t>
        </is>
      </c>
      <c r="T72" s="31" t="inlineStr">
        <is>
          <t>GUANG DONG SHENG HUI ZHOU SHI HUI CHENG QU QIAO DONG JIE DAO HUI ZHOU SHI HUI ZHOU DA DAO 108 HAO</t>
        </is>
      </c>
      <c r="U72" s="32" t="inlineStr">
        <is>
          <t>C&amp;F</t>
        </is>
      </c>
      <c r="V72" s="32" t="inlineStr">
        <is>
          <t>JPY</t>
        </is>
      </c>
      <c r="W72" s="33"/>
      <c r="X72" s="34" t="n">
        <f>INT(AZ72)</f>
        <v>0.0</v>
      </c>
      <c r="Y72" s="32" t="inlineStr">
        <is>
          <t>A</t>
        </is>
      </c>
      <c r="Z72" s="32" t="inlineStr">
        <is>
          <t>JPY</t>
        </is>
      </c>
      <c r="AA72" s="32"/>
      <c r="AB72" s="32" t="inlineStr">
        <is>
          <t>CN</t>
        </is>
      </c>
      <c r="AD72" s="27" t="inlineStr">
        <is>
          <t>江尻 知穂</t>
        </is>
      </c>
      <c r="AE72" s="7" t="n">
        <f>AU72&amp;AV72&amp;AW72&amp;BD72</f>
        <v>0.0</v>
      </c>
      <c r="AF72" s="7" t="inlineStr">
        <is>
          <t>070-2216-7412</t>
        </is>
      </c>
      <c r="AG72" s="7" t="inlineStr">
        <is>
          <t>464-0013</t>
        </is>
      </c>
      <c r="AH72" s="7" t="inlineStr">
        <is>
          <t>UT.village</t>
        </is>
      </c>
      <c r="AI72" s="7" t="n">
        <f>BB72&amp;BC72&amp;BA72</f>
        <v>0.0</v>
      </c>
      <c r="AJ72" s="7" t="inlineStr">
        <is>
          <t xml:space="preserve"> 05030979484</t>
        </is>
      </c>
      <c r="AK72" s="39" t="inlineStr">
        <is>
          <t>C</t>
        </is>
      </c>
      <c r="AL72" s="39" t="n">
        <v>1.0</v>
      </c>
      <c r="AM72" s="27" t="n">
        <f>IF(OR(ISNUMBER(SEARCH("amazon",AH72)),ISNUMBER(SEARCH("亚马逊",AH72))),"PUS001",IF(OR(ISNUMBER(SEARCH("rakuten",AH72)),ISNUMBER(SEARCH("楽天",AH72)),ISNUMBER(SEARCH("乐天",AH72))),"PJP001",IF(ISNUMBER(SEARCH("tik tok shop",AH72)),"PSG003",IF(ISNUMBER(SEARCH("temu",AH72)),"PSG001",IF(ISNUMBER(SEARCH("shein",AH72)),"JSG001",IF(OR(ISNUMBER(SEARCH("yahoo",AH72)),ISNUMBER(SEARCH("雅虎",AH72)),ISNUMBER(SEARCH("雅",AH72)),LEFT(UPPER(AH72),1)="Y"),"PJP005",IF(ISNUMBER(SEARCH("DDA JAPAN",AH72)),CHOOSE(RANDBETWEEN(1,3),"temu","PSG003","PSG001"),"JCNZZZ")))))))</f>
        <v>0.0</v>
      </c>
      <c r="AN72" s="7" t="n">
        <f>IF(ISNUMBER(SEARCH("JCNZZZ",AM72)),CHOOSE(RANDBETWEEN(1,4),"TAOBAO0","JinDdong","PingDduoDduo","ALIBABA"),"")</f>
        <v>0.0</v>
      </c>
      <c r="AU72" s="7" t="inlineStr">
        <is>
          <t>愛知県</t>
        </is>
      </c>
      <c r="AV72" s="7" t="inlineStr">
        <is>
          <t>名古屋市千種区</t>
        </is>
      </c>
      <c r="AW72" s="7" t="inlineStr">
        <is>
          <t>汁谷町4-1 ヴィークステージ茶屋ヶ坂フォレストテラスF103</t>
        </is>
      </c>
      <c r="AX72" s="7" t="inlineStr">
        <is>
          <t>Alarm clock</t>
        </is>
      </c>
      <c r="AY72" s="7" t="inlineStr">
        <is>
          <t>Metal</t>
        </is>
      </c>
      <c r="AZ72" s="7" t="n">
        <v>10.0</v>
      </c>
      <c r="BA72" s="7" t="inlineStr">
        <is>
          <t xml:space="preserve"> 神奈川県川崎市高津区下作延２－２２－５クレイノアクアパレス２０５</t>
        </is>
      </c>
      <c r="BB72" s="7"/>
      <c r="BC72" s="7"/>
      <c r="BD72" s="7"/>
    </row>
    <row r="73" customHeight="true" ht="33.0">
      <c r="A73" s="13" t="inlineStr">
        <is>
          <t>DIDA</t>
        </is>
      </c>
      <c r="B73" s="14"/>
      <c r="C73" s="15" t="inlineStr">
        <is>
          <t>365027493364</t>
        </is>
      </c>
      <c r="D73" s="15" t="inlineStr">
        <is>
          <t>365027493364</t>
        </is>
      </c>
      <c r="E73" s="7" t="n">
        <v>1.0</v>
      </c>
      <c r="F73" s="11" t="n">
        <v>0.42</v>
      </c>
      <c r="G73" s="7" t="inlineStr">
        <is>
          <t>KGM</t>
        </is>
      </c>
      <c r="H73" s="16" t="n">
        <f>UPPER(AX73)</f>
        <v>0.0</v>
      </c>
      <c r="I73" s="16" t="n">
        <f>UPPER(AY73)</f>
        <v>0.0</v>
      </c>
      <c r="J73" s="16" t="inlineStr">
        <is>
          <t>鎌田 利美</t>
        </is>
      </c>
      <c r="K73" s="25" t="n">
        <f>UPPER(J73)</f>
        <v>0.0</v>
      </c>
      <c r="L73" s="25"/>
      <c r="M73" s="26" t="n">
        <f>AU73&amp;AV73&amp;AW73&amp;BD73</f>
        <v>0.0</v>
      </c>
      <c r="N73" s="27" t="n">
        <f>UPPER(M73)</f>
        <v>0.0</v>
      </c>
      <c r="O73" s="28" t="n">
        <f>MID(N73,MIN(IFERROR(FIND({0,1,2,3,4,5,6,7,8,9},N73),LEN(N73)+1)),LEN(N73))</f>
        <v>0.0</v>
      </c>
      <c r="P73" s="28" t="n">
        <f>L73&amp;" "&amp;O73</f>
        <v>0.0</v>
      </c>
      <c r="Q73" s="27" t="inlineStr">
        <is>
          <t>299-2721</t>
        </is>
      </c>
      <c r="R73" s="30" t="inlineStr">
        <is>
          <t>0470-47-3985</t>
        </is>
      </c>
      <c r="S73" s="31" t="inlineStr">
        <is>
          <t xml:space="preserve">HUI ZHOU JING SHAN GONG MAO YOU XIAN GONG SI </t>
        </is>
      </c>
      <c r="T73" s="31" t="inlineStr">
        <is>
          <t>GUANG DONG SHENG HUI ZHOU SHI HUI CHENG QU QIAO DONG JIE DAO HUI ZHOU SHI HUI ZHOU DA DAO 108 HAO</t>
        </is>
      </c>
      <c r="U73" s="32" t="inlineStr">
        <is>
          <t>C&amp;F</t>
        </is>
      </c>
      <c r="V73" s="32" t="inlineStr">
        <is>
          <t>JPY</t>
        </is>
      </c>
      <c r="W73" s="33"/>
      <c r="X73" s="34" t="n">
        <f>INT(AZ73)</f>
        <v>0.0</v>
      </c>
      <c r="Y73" s="32" t="inlineStr">
        <is>
          <t>A</t>
        </is>
      </c>
      <c r="Z73" s="32" t="inlineStr">
        <is>
          <t>JPY</t>
        </is>
      </c>
      <c r="AA73" s="32"/>
      <c r="AB73" s="32" t="inlineStr">
        <is>
          <t>CN</t>
        </is>
      </c>
      <c r="AD73" s="27" t="inlineStr">
        <is>
          <t>鎌田 利美</t>
        </is>
      </c>
      <c r="AE73" s="7" t="n">
        <f>AU73&amp;AV73&amp;AW73&amp;BD73</f>
        <v>0.0</v>
      </c>
      <c r="AF73" s="7" t="inlineStr">
        <is>
          <t>0470-47-3985</t>
        </is>
      </c>
      <c r="AG73" s="7" t="inlineStr">
        <is>
          <t>299-2721</t>
        </is>
      </c>
      <c r="AH73" s="7" t="inlineStr">
        <is>
          <t>JETMILLIO楽天市場店</t>
        </is>
      </c>
      <c r="AI73" s="7" t="n">
        <f>BB73&amp;BC73&amp;BA73</f>
        <v>0.0</v>
      </c>
      <c r="AJ73" s="7" t="inlineStr">
        <is>
          <t xml:space="preserve"> 050-3181-9787</t>
        </is>
      </c>
      <c r="AK73" s="39" t="inlineStr">
        <is>
          <t>C</t>
        </is>
      </c>
      <c r="AL73" s="39" t="n">
        <v>1.0</v>
      </c>
      <c r="AM73" s="27" t="n">
        <f>IF(OR(ISNUMBER(SEARCH("amazon",AH73)),ISNUMBER(SEARCH("亚马逊",AH73))),"PUS001",IF(OR(ISNUMBER(SEARCH("rakuten",AH73)),ISNUMBER(SEARCH("楽天",AH73)),ISNUMBER(SEARCH("乐天",AH73))),"PJP001",IF(ISNUMBER(SEARCH("tik tok shop",AH73)),"PSG003",IF(ISNUMBER(SEARCH("temu",AH73)),"PSG001",IF(ISNUMBER(SEARCH("shein",AH73)),"JSG001",IF(OR(ISNUMBER(SEARCH("yahoo",AH73)),ISNUMBER(SEARCH("雅虎",AH73)),ISNUMBER(SEARCH("雅",AH73)),LEFT(UPPER(AH73),1)="Y"),"PJP005",IF(ISNUMBER(SEARCH("DDA JAPAN",AH73)),CHOOSE(RANDBETWEEN(1,3),"temu","PSG003","PSG001"),"JCNZZZ")))))))</f>
        <v>0.0</v>
      </c>
      <c r="AN73" s="7" t="n">
        <f>IF(ISNUMBER(SEARCH("JCNZZZ",AM73)),CHOOSE(RANDBETWEEN(1,4),"TAOBAO0","JinDdong","PingDduoDduo","ALIBABA"),"")</f>
        <v>0.0</v>
      </c>
      <c r="AU73" s="7" t="inlineStr">
        <is>
          <t>千葉県</t>
        </is>
      </c>
      <c r="AV73" s="7" t="inlineStr">
        <is>
          <t>南房総市</t>
        </is>
      </c>
      <c r="AW73" s="7" t="inlineStr">
        <is>
          <t>和田町五十蔵69ー1</t>
        </is>
      </c>
      <c r="AX73" s="7" t="inlineStr">
        <is>
          <t>Children's educational toys</t>
        </is>
      </c>
      <c r="AY73" s="7" t="inlineStr">
        <is>
          <t>plastic</t>
        </is>
      </c>
      <c r="AZ73" s="7" t="n">
        <v>16.0</v>
      </c>
      <c r="BA73" s="7" t="inlineStr">
        <is>
          <t xml:space="preserve"> 東京都大田区上池台３－２４－１４スターハイツ洗足池２　２０２</t>
        </is>
      </c>
      <c r="BB73" s="7"/>
      <c r="BC73" s="7"/>
      <c r="BD73" s="7"/>
    </row>
    <row r="74" customHeight="true" ht="33.0">
      <c r="A74" s="13" t="inlineStr">
        <is>
          <t>DIDA</t>
        </is>
      </c>
      <c r="B74" s="14"/>
      <c r="C74" s="15" t="inlineStr">
        <is>
          <t>365027492760</t>
        </is>
      </c>
      <c r="D74" s="15" t="inlineStr">
        <is>
          <t>365027492760</t>
        </is>
      </c>
      <c r="E74" s="7" t="n">
        <v>1.0</v>
      </c>
      <c r="F74" s="11" t="n">
        <v>0.34</v>
      </c>
      <c r="G74" s="7" t="inlineStr">
        <is>
          <t>KGM</t>
        </is>
      </c>
      <c r="H74" s="16" t="n">
        <f>UPPER(AX74)</f>
        <v>0.0</v>
      </c>
      <c r="I74" s="16" t="n">
        <f>UPPER(AY74)</f>
        <v>0.0</v>
      </c>
      <c r="J74" s="16" t="inlineStr">
        <is>
          <t>塩澤 秀幸</t>
        </is>
      </c>
      <c r="K74" s="25" t="n">
        <f>UPPER(J74)</f>
        <v>0.0</v>
      </c>
      <c r="L74" s="25"/>
      <c r="M74" s="26" t="n">
        <f>AU74&amp;AV74&amp;AW74&amp;BD74</f>
        <v>0.0</v>
      </c>
      <c r="N74" s="27" t="n">
        <f>UPPER(M74)</f>
        <v>0.0</v>
      </c>
      <c r="O74" s="28" t="n">
        <f>MID(N74,MIN(IFERROR(FIND({0,1,2,3,4,5,6,7,8,9},N74),LEN(N74)+1)),LEN(N74))</f>
        <v>0.0</v>
      </c>
      <c r="P74" s="28" t="n">
        <f>L74&amp;" "&amp;O74</f>
        <v>0.0</v>
      </c>
      <c r="Q74" s="27" t="inlineStr">
        <is>
          <t>400-0042</t>
        </is>
      </c>
      <c r="R74" s="30" t="inlineStr">
        <is>
          <t>055-222-3235</t>
        </is>
      </c>
      <c r="S74" s="31" t="inlineStr">
        <is>
          <t xml:space="preserve">HUI ZHOU JING SHAN GONG MAO YOU XIAN GONG SI </t>
        </is>
      </c>
      <c r="T74" s="31" t="inlineStr">
        <is>
          <t>GUANG DONG SHENG HUI ZHOU SHI HUI CHENG QU QIAO DONG JIE DAO HUI ZHOU SHI HUI ZHOU DA DAO 108 HAO</t>
        </is>
      </c>
      <c r="U74" s="32" t="inlineStr">
        <is>
          <t>C&amp;F</t>
        </is>
      </c>
      <c r="V74" s="32" t="inlineStr">
        <is>
          <t>JPY</t>
        </is>
      </c>
      <c r="W74" s="33"/>
      <c r="X74" s="34" t="n">
        <f>INT(AZ74)</f>
        <v>0.0</v>
      </c>
      <c r="Y74" s="32" t="inlineStr">
        <is>
          <t>A</t>
        </is>
      </c>
      <c r="Z74" s="32" t="inlineStr">
        <is>
          <t>JPY</t>
        </is>
      </c>
      <c r="AA74" s="32"/>
      <c r="AB74" s="32" t="inlineStr">
        <is>
          <t>CN</t>
        </is>
      </c>
      <c r="AD74" s="27" t="inlineStr">
        <is>
          <t>塩澤 秀幸</t>
        </is>
      </c>
      <c r="AE74" s="7" t="n">
        <f>AU74&amp;AV74&amp;AW74&amp;BD74</f>
        <v>0.0</v>
      </c>
      <c r="AF74" s="7" t="inlineStr">
        <is>
          <t>055-222-3235</t>
        </is>
      </c>
      <c r="AG74" s="7" t="inlineStr">
        <is>
          <t>400-0042</t>
        </is>
      </c>
      <c r="AH74" s="7" t="inlineStr">
        <is>
          <t>JETMILLIO楽天市場店</t>
        </is>
      </c>
      <c r="AI74" s="7" t="n">
        <f>BB74&amp;BC74&amp;BA74</f>
        <v>0.0</v>
      </c>
      <c r="AJ74" s="7" t="inlineStr">
        <is>
          <t xml:space="preserve"> 050-3181-9787</t>
        </is>
      </c>
      <c r="AK74" s="39" t="inlineStr">
        <is>
          <t>C</t>
        </is>
      </c>
      <c r="AL74" s="39" t="n">
        <v>1.0</v>
      </c>
      <c r="AM74" s="27" t="n">
        <f>IF(OR(ISNUMBER(SEARCH("amazon",AH74)),ISNUMBER(SEARCH("亚马逊",AH74))),"PUS001",IF(OR(ISNUMBER(SEARCH("rakuten",AH74)),ISNUMBER(SEARCH("楽天",AH74)),ISNUMBER(SEARCH("乐天",AH74))),"PJP001",IF(ISNUMBER(SEARCH("tik tok shop",AH74)),"PSG003",IF(ISNUMBER(SEARCH("temu",AH74)),"PSG001",IF(ISNUMBER(SEARCH("shein",AH74)),"JSG001",IF(OR(ISNUMBER(SEARCH("yahoo",AH74)),ISNUMBER(SEARCH("雅虎",AH74)),ISNUMBER(SEARCH("雅",AH74)),LEFT(UPPER(AH74),1)="Y"),"PJP005",IF(ISNUMBER(SEARCH("DDA JAPAN",AH74)),CHOOSE(RANDBETWEEN(1,3),"temu","PSG003","PSG001"),"JCNZZZ")))))))</f>
        <v>0.0</v>
      </c>
      <c r="AN74" s="7" t="n">
        <f>IF(ISNUMBER(SEARCH("JCNZZZ",AM74)),CHOOSE(RANDBETWEEN(1,4),"TAOBAO0","JinDdong","PingDduoDduo","ALIBABA"),"")</f>
        <v>0.0</v>
      </c>
      <c r="AU74" s="7" t="inlineStr">
        <is>
          <t>山梨県</t>
        </is>
      </c>
      <c r="AV74" s="7" t="inlineStr">
        <is>
          <t>甲府市</t>
        </is>
      </c>
      <c r="AW74" s="7" t="inlineStr">
        <is>
          <t>高畑1-17-13</t>
        </is>
      </c>
      <c r="AX74" s="7" t="inlineStr">
        <is>
          <t>Toy</t>
        </is>
      </c>
      <c r="AY74" s="7" t="inlineStr">
        <is>
          <t>Wooden</t>
        </is>
      </c>
      <c r="AZ74" s="7" t="n">
        <v>12.0</v>
      </c>
      <c r="BA74" s="7" t="inlineStr">
        <is>
          <t xml:space="preserve"> 東京都大田区上池台３－２４－１４スターハイツ洗足池２　２０２</t>
        </is>
      </c>
      <c r="BB74" s="7"/>
      <c r="BC74" s="7"/>
      <c r="BD74" s="7"/>
    </row>
    <row r="75" customHeight="true" ht="33.0">
      <c r="A75" s="13" t="inlineStr">
        <is>
          <t>DIDA</t>
        </is>
      </c>
      <c r="B75" s="14"/>
      <c r="C75" s="15" t="inlineStr">
        <is>
          <t>365027493445</t>
        </is>
      </c>
      <c r="D75" s="15" t="inlineStr">
        <is>
          <t>365027493445</t>
        </is>
      </c>
      <c r="E75" s="7" t="n">
        <v>1.0</v>
      </c>
      <c r="F75" s="11" t="n">
        <v>2.33</v>
      </c>
      <c r="G75" s="7" t="inlineStr">
        <is>
          <t>KGM</t>
        </is>
      </c>
      <c r="H75" s="16" t="n">
        <f>UPPER(AX75)</f>
        <v>0.0</v>
      </c>
      <c r="I75" s="16" t="n">
        <f>UPPER(AY75)</f>
        <v>0.0</v>
      </c>
      <c r="J75" s="16" t="inlineStr">
        <is>
          <t>池田 美月 [イケダ ミヅキ]</t>
        </is>
      </c>
      <c r="K75" s="25" t="n">
        <f>UPPER(J75)</f>
        <v>0.0</v>
      </c>
      <c r="L75" s="25"/>
      <c r="M75" s="26" t="n">
        <f>AU75&amp;AV75&amp;AW75&amp;BD75</f>
        <v>0.0</v>
      </c>
      <c r="N75" s="27" t="n">
        <f>UPPER(M75)</f>
        <v>0.0</v>
      </c>
      <c r="O75" s="28" t="n">
        <f>MID(N75,MIN(IFERROR(FIND({0,1,2,3,4,5,6,7,8,9},N75),LEN(N75)+1)),LEN(N75))</f>
        <v>0.0</v>
      </c>
      <c r="P75" s="28" t="n">
        <f>L75&amp;" "&amp;O75</f>
        <v>0.0</v>
      </c>
      <c r="Q75" s="27" t="inlineStr">
        <is>
          <t>061-1354</t>
        </is>
      </c>
      <c r="R75" s="30" t="inlineStr">
        <is>
          <t>080-4470-1349</t>
        </is>
      </c>
      <c r="S75" s="31" t="inlineStr">
        <is>
          <t xml:space="preserve">HUI ZHOU JING SHAN GONG MAO YOU XIAN GONG SI </t>
        </is>
      </c>
      <c r="T75" s="31" t="inlineStr">
        <is>
          <t>GUANG DONG SHENG HUI ZHOU SHI HUI CHENG QU QIAO DONG JIE DAO HUI ZHOU SHI HUI ZHOU DA DAO 108 HAO</t>
        </is>
      </c>
      <c r="U75" s="32" t="inlineStr">
        <is>
          <t>C&amp;F</t>
        </is>
      </c>
      <c r="V75" s="32" t="inlineStr">
        <is>
          <t>JPY</t>
        </is>
      </c>
      <c r="W75" s="33"/>
      <c r="X75" s="34" t="n">
        <f>INT(AZ75)</f>
        <v>0.0</v>
      </c>
      <c r="Y75" s="32" t="inlineStr">
        <is>
          <t>A</t>
        </is>
      </c>
      <c r="Z75" s="32" t="inlineStr">
        <is>
          <t>JPY</t>
        </is>
      </c>
      <c r="AA75" s="32"/>
      <c r="AB75" s="32" t="inlineStr">
        <is>
          <t>CN</t>
        </is>
      </c>
      <c r="AD75" s="27" t="inlineStr">
        <is>
          <t>池田 美月 [イケダ ミヅキ]</t>
        </is>
      </c>
      <c r="AE75" s="7" t="n">
        <f>AU75&amp;AV75&amp;AW75&amp;BD75</f>
        <v>0.0</v>
      </c>
      <c r="AF75" s="7" t="inlineStr">
        <is>
          <t>080-4470-1349</t>
        </is>
      </c>
      <c r="AG75" s="7" t="inlineStr">
        <is>
          <t>061-1354</t>
        </is>
      </c>
      <c r="AH75" s="7" t="inlineStr">
        <is>
          <t>楽天-sepco</t>
        </is>
      </c>
      <c r="AI75" s="7" t="n">
        <f>BB75&amp;BC75&amp;BA75</f>
        <v>0.0</v>
      </c>
      <c r="AJ75" s="7" t="inlineStr">
        <is>
          <t xml:space="preserve"> 070-5589-7493</t>
        </is>
      </c>
      <c r="AK75" s="39" t="inlineStr">
        <is>
          <t>C</t>
        </is>
      </c>
      <c r="AL75" s="39" t="n">
        <v>1.0</v>
      </c>
      <c r="AM75" s="27" t="n">
        <f>IF(OR(ISNUMBER(SEARCH("amazon",AH75)),ISNUMBER(SEARCH("亚马逊",AH75))),"PUS001",IF(OR(ISNUMBER(SEARCH("rakuten",AH75)),ISNUMBER(SEARCH("楽天",AH75)),ISNUMBER(SEARCH("乐天",AH75))),"PJP001",IF(ISNUMBER(SEARCH("tik tok shop",AH75)),"PSG003",IF(ISNUMBER(SEARCH("temu",AH75)),"PSG001",IF(ISNUMBER(SEARCH("shein",AH75)),"JSG001",IF(OR(ISNUMBER(SEARCH("yahoo",AH75)),ISNUMBER(SEARCH("雅虎",AH75)),ISNUMBER(SEARCH("雅",AH75)),LEFT(UPPER(AH75),1)="Y"),"PJP005",IF(ISNUMBER(SEARCH("DDA JAPAN",AH75)),CHOOSE(RANDBETWEEN(1,3),"temu","PSG003","PSG001"),"JCNZZZ")))))))</f>
        <v>0.0</v>
      </c>
      <c r="AN75" s="7" t="n">
        <f>IF(ISNUMBER(SEARCH("JCNZZZ",AM75)),CHOOSE(RANDBETWEEN(1,4),"TAOBAO0","JinDdong","PingDduoDduo","ALIBABA"),"")</f>
        <v>0.0</v>
      </c>
      <c r="AU75" s="7" t="inlineStr">
        <is>
          <t>北海道</t>
        </is>
      </c>
      <c r="AV75" s="7" t="inlineStr">
        <is>
          <t>恵庭市</t>
        </is>
      </c>
      <c r="AW75" s="7" t="inlineStr">
        <is>
          <t>島松旭町2丁目5番20号</t>
        </is>
      </c>
      <c r="AX75" s="7" t="inlineStr">
        <is>
          <t>Skating shoes</t>
        </is>
      </c>
      <c r="AY75" s="7" t="inlineStr">
        <is>
          <t>PU</t>
        </is>
      </c>
      <c r="AZ75" s="7" t="n">
        <v>19.5</v>
      </c>
      <c r="BA75" s="7" t="inlineStr">
        <is>
          <t xml:space="preserve"> 中区大手町1-1-26-305大手町一番ビル</t>
        </is>
      </c>
      <c r="BB75" s="7"/>
      <c r="BC75" s="7"/>
      <c r="BD75" s="7"/>
    </row>
    <row r="76" customHeight="true" ht="33.0">
      <c r="A76" s="13" t="inlineStr">
        <is>
          <t>DIDA</t>
        </is>
      </c>
      <c r="B76" s="14"/>
      <c r="C76" s="15" t="inlineStr">
        <is>
          <t>365027468901</t>
        </is>
      </c>
      <c r="D76" s="15" t="inlineStr">
        <is>
          <t>365027468901</t>
        </is>
      </c>
      <c r="E76" s="7" t="n">
        <v>1.0</v>
      </c>
      <c r="F76" s="11" t="n">
        <v>2.31</v>
      </c>
      <c r="G76" s="7" t="inlineStr">
        <is>
          <t>KGM</t>
        </is>
      </c>
      <c r="H76" s="16" t="n">
        <f>UPPER(AX76)</f>
        <v>0.0</v>
      </c>
      <c r="I76" s="16" t="n">
        <f>UPPER(AY76)</f>
        <v>0.0</v>
      </c>
      <c r="J76" s="16" t="inlineStr">
        <is>
          <t>西村サカエ</t>
        </is>
      </c>
      <c r="K76" s="25" t="n">
        <f>UPPER(J76)</f>
        <v>0.0</v>
      </c>
      <c r="L76" s="25"/>
      <c r="M76" s="26" t="n">
        <f>AU76&amp;AV76&amp;AW76&amp;BD76</f>
        <v>0.0</v>
      </c>
      <c r="N76" s="27" t="n">
        <f>UPPER(M76)</f>
        <v>0.0</v>
      </c>
      <c r="O76" s="28" t="n">
        <f>MID(N76,MIN(IFERROR(FIND({0,1,2,3,4,5,6,7,8,9},N76),LEN(N76)+1)),LEN(N76))</f>
        <v>0.0</v>
      </c>
      <c r="P76" s="28" t="n">
        <f>L76&amp;" "&amp;O76</f>
        <v>0.0</v>
      </c>
      <c r="Q76" s="27" t="inlineStr">
        <is>
          <t>520-3315</t>
        </is>
      </c>
      <c r="R76" s="30" t="inlineStr">
        <is>
          <t>08031027463</t>
        </is>
      </c>
      <c r="S76" s="31" t="inlineStr">
        <is>
          <t xml:space="preserve">HUI ZHOU JING SHAN GONG MAO YOU XIAN GONG SI </t>
        </is>
      </c>
      <c r="T76" s="31" t="inlineStr">
        <is>
          <t>GUANG DONG SHENG HUI ZHOU SHI HUI CHENG QU QIAO DONG JIE DAO HUI ZHOU SHI HUI ZHOU DA DAO 108 HAO</t>
        </is>
      </c>
      <c r="U76" s="32" t="inlineStr">
        <is>
          <t>C&amp;F</t>
        </is>
      </c>
      <c r="V76" s="32" t="inlineStr">
        <is>
          <t>JPY</t>
        </is>
      </c>
      <c r="W76" s="33"/>
      <c r="X76" s="34" t="n">
        <f>INT(AZ76)</f>
        <v>0.0</v>
      </c>
      <c r="Y76" s="32" t="inlineStr">
        <is>
          <t>A</t>
        </is>
      </c>
      <c r="Z76" s="32" t="inlineStr">
        <is>
          <t>JPY</t>
        </is>
      </c>
      <c r="AA76" s="32"/>
      <c r="AB76" s="32" t="inlineStr">
        <is>
          <t>CN</t>
        </is>
      </c>
      <c r="AD76" s="27" t="inlineStr">
        <is>
          <t>西村サカエ</t>
        </is>
      </c>
      <c r="AE76" s="7" t="n">
        <f>AU76&amp;AV76&amp;AW76&amp;BD76</f>
        <v>0.0</v>
      </c>
      <c r="AF76" s="7" t="inlineStr">
        <is>
          <t>08031027463</t>
        </is>
      </c>
      <c r="AG76" s="7" t="inlineStr">
        <is>
          <t>520-3315</t>
        </is>
      </c>
      <c r="AH76" s="7"/>
      <c r="AI76" s="7" t="n">
        <f>BB76&amp;BC76&amp;BA76</f>
        <v>0.0</v>
      </c>
      <c r="AJ76" s="7" t="inlineStr">
        <is>
          <t xml:space="preserve"> </t>
        </is>
      </c>
      <c r="AK76" s="39" t="inlineStr">
        <is>
          <t>C</t>
        </is>
      </c>
      <c r="AL76" s="39" t="n">
        <v>1.0</v>
      </c>
      <c r="AM76" s="27" t="n">
        <f>IF(OR(ISNUMBER(SEARCH("amazon",AH76)),ISNUMBER(SEARCH("亚马逊",AH76))),"PUS001",IF(OR(ISNUMBER(SEARCH("rakuten",AH76)),ISNUMBER(SEARCH("楽天",AH76)),ISNUMBER(SEARCH("乐天",AH76))),"PJP001",IF(ISNUMBER(SEARCH("tik tok shop",AH76)),"PSG003",IF(ISNUMBER(SEARCH("temu",AH76)),"PSG001",IF(ISNUMBER(SEARCH("shein",AH76)),"JSG001",IF(OR(ISNUMBER(SEARCH("yahoo",AH76)),ISNUMBER(SEARCH("雅虎",AH76)),ISNUMBER(SEARCH("雅",AH76)),LEFT(UPPER(AH76),1)="Y"),"PJP005",IF(ISNUMBER(SEARCH("DDA JAPAN",AH76)),CHOOSE(RANDBETWEEN(1,3),"temu","PSG003","PSG001"),"JCNZZZ")))))))</f>
        <v>0.0</v>
      </c>
      <c r="AN76" s="7" t="n">
        <f>IF(ISNUMBER(SEARCH("JCNZZZ",AM76)),CHOOSE(RANDBETWEEN(1,4),"TAOBAO0","JinDdong","PingDduoDduo","ALIBABA"),"")</f>
        <v>0.0</v>
      </c>
      <c r="AU76" s="7"/>
      <c r="AV76" s="7"/>
      <c r="AW76" s="7" t="inlineStr">
        <is>
          <t>甲賀市甲南町塩野 306 滋賀県</t>
        </is>
      </c>
      <c r="AX76" s="7" t="inlineStr">
        <is>
          <t>Optical level</t>
        </is>
      </c>
      <c r="AY76" s="7" t="inlineStr">
        <is>
          <t>plastic</t>
        </is>
      </c>
      <c r="AZ76" s="7" t="n">
        <v>35.0</v>
      </c>
      <c r="BA76" s="7" t="inlineStr">
        <is>
          <t xml:space="preserve"> </t>
        </is>
      </c>
      <c r="BB76" s="7"/>
      <c r="BC76" s="7"/>
      <c r="BD76" s="7"/>
    </row>
    <row r="77" customHeight="true" ht="33.0">
      <c r="A77" s="13" t="inlineStr">
        <is>
          <t>DIDA</t>
        </is>
      </c>
      <c r="B77" s="14"/>
      <c r="C77" s="15" t="inlineStr">
        <is>
          <t>365027468890</t>
        </is>
      </c>
      <c r="D77" s="15" t="inlineStr">
        <is>
          <t>365027468890</t>
        </is>
      </c>
      <c r="E77" s="7" t="n">
        <v>1.0</v>
      </c>
      <c r="F77" s="11" t="n">
        <v>2.31</v>
      </c>
      <c r="G77" s="7" t="inlineStr">
        <is>
          <t>KGM</t>
        </is>
      </c>
      <c r="H77" s="16" t="n">
        <f>UPPER(AX77)</f>
        <v>0.0</v>
      </c>
      <c r="I77" s="16" t="n">
        <f>UPPER(AY77)</f>
        <v>0.0</v>
      </c>
      <c r="J77" s="16" t="inlineStr">
        <is>
          <t>中尾　広志</t>
        </is>
      </c>
      <c r="K77" s="25" t="n">
        <f>UPPER(J77)</f>
        <v>0.0</v>
      </c>
      <c r="L77" s="25"/>
      <c r="M77" s="26" t="n">
        <f>AU77&amp;AV77&amp;AW77&amp;BD77</f>
        <v>0.0</v>
      </c>
      <c r="N77" s="27" t="n">
        <f>UPPER(M77)</f>
        <v>0.0</v>
      </c>
      <c r="O77" s="28" t="n">
        <f>MID(N77,MIN(IFERROR(FIND({0,1,2,3,4,5,6,7,8,9},N77),LEN(N77)+1)),LEN(N77))</f>
        <v>0.0</v>
      </c>
      <c r="P77" s="28" t="n">
        <f>L77&amp;" "&amp;O77</f>
        <v>0.0</v>
      </c>
      <c r="Q77" s="27" t="inlineStr">
        <is>
          <t>859-3929</t>
        </is>
      </c>
      <c r="R77" s="30" t="inlineStr">
        <is>
          <t>09025121821</t>
        </is>
      </c>
      <c r="S77" s="31" t="inlineStr">
        <is>
          <t xml:space="preserve">HUI ZHOU JING SHAN GONG MAO YOU XIAN GONG SI </t>
        </is>
      </c>
      <c r="T77" s="31" t="inlineStr">
        <is>
          <t>GUANG DONG SHENG HUI ZHOU SHI HUI CHENG QU QIAO DONG JIE DAO HUI ZHOU SHI HUI ZHOU DA DAO 108 HAO</t>
        </is>
      </c>
      <c r="U77" s="32" t="inlineStr">
        <is>
          <t>C&amp;F</t>
        </is>
      </c>
      <c r="V77" s="32" t="inlineStr">
        <is>
          <t>JPY</t>
        </is>
      </c>
      <c r="W77" s="33"/>
      <c r="X77" s="34" t="n">
        <f>INT(AZ77)</f>
        <v>0.0</v>
      </c>
      <c r="Y77" s="32" t="inlineStr">
        <is>
          <t>A</t>
        </is>
      </c>
      <c r="Z77" s="32" t="inlineStr">
        <is>
          <t>JPY</t>
        </is>
      </c>
      <c r="AA77" s="32"/>
      <c r="AB77" s="32" t="inlineStr">
        <is>
          <t>CN</t>
        </is>
      </c>
      <c r="AD77" s="27" t="inlineStr">
        <is>
          <t>中尾　広志</t>
        </is>
      </c>
      <c r="AE77" s="7" t="n">
        <f>AU77&amp;AV77&amp;AW77&amp;BD77</f>
        <v>0.0</v>
      </c>
      <c r="AF77" s="7" t="inlineStr">
        <is>
          <t>09025121821</t>
        </is>
      </c>
      <c r="AG77" s="7" t="inlineStr">
        <is>
          <t>859-3929</t>
        </is>
      </c>
      <c r="AH77" s="7"/>
      <c r="AI77" s="7" t="n">
        <f>BB77&amp;BC77&amp;BA77</f>
        <v>0.0</v>
      </c>
      <c r="AJ77" s="7" t="inlineStr">
        <is>
          <t xml:space="preserve"> </t>
        </is>
      </c>
      <c r="AK77" s="39" t="inlineStr">
        <is>
          <t>C</t>
        </is>
      </c>
      <c r="AL77" s="39" t="n">
        <v>1.0</v>
      </c>
      <c r="AM77" s="27" t="n">
        <f>IF(OR(ISNUMBER(SEARCH("amazon",AH77)),ISNUMBER(SEARCH("亚马逊",AH77))),"PUS001",IF(OR(ISNUMBER(SEARCH("rakuten",AH77)),ISNUMBER(SEARCH("楽天",AH77)),ISNUMBER(SEARCH("乐天",AH77))),"PJP001",IF(ISNUMBER(SEARCH("tik tok shop",AH77)),"PSG003",IF(ISNUMBER(SEARCH("temu",AH77)),"PSG001",IF(ISNUMBER(SEARCH("shein",AH77)),"JSG001",IF(OR(ISNUMBER(SEARCH("yahoo",AH77)),ISNUMBER(SEARCH("雅虎",AH77)),ISNUMBER(SEARCH("雅",AH77)),LEFT(UPPER(AH77),1)="Y"),"PJP005",IF(ISNUMBER(SEARCH("DDA JAPAN",AH77)),CHOOSE(RANDBETWEEN(1,3),"temu","PSG003","PSG001"),"JCNZZZ")))))))</f>
        <v>0.0</v>
      </c>
      <c r="AN77" s="7" t="n">
        <f>IF(ISNUMBER(SEARCH("JCNZZZ",AM77)),CHOOSE(RANDBETWEEN(1,4),"TAOBAO0","JinDdong","PingDduoDduo","ALIBABA"),"")</f>
        <v>0.0</v>
      </c>
      <c r="AU77" s="7"/>
      <c r="AV77" s="7"/>
      <c r="AW77" s="7" t="inlineStr">
        <is>
          <t>東彼杵郡東彼杵町里郷1178-2 長崎県</t>
        </is>
      </c>
      <c r="AX77" s="7" t="inlineStr">
        <is>
          <t>Optical level</t>
        </is>
      </c>
      <c r="AY77" s="7" t="inlineStr">
        <is>
          <t>plastic</t>
        </is>
      </c>
      <c r="AZ77" s="7" t="n">
        <v>35.0</v>
      </c>
      <c r="BA77" s="7" t="inlineStr">
        <is>
          <t xml:space="preserve"> </t>
        </is>
      </c>
      <c r="BB77" s="7"/>
      <c r="BC77" s="7"/>
      <c r="BD77" s="7"/>
    </row>
    <row r="78" customHeight="true" ht="33.0">
      <c r="A78" s="13" t="inlineStr">
        <is>
          <t>DIDA</t>
        </is>
      </c>
      <c r="B78" s="14"/>
      <c r="C78" s="15" t="inlineStr">
        <is>
          <t>365027470614</t>
        </is>
      </c>
      <c r="D78" s="15" t="inlineStr">
        <is>
          <t>365027470614</t>
        </is>
      </c>
      <c r="E78" s="7" t="n">
        <v>1.0</v>
      </c>
      <c r="F78" s="11" t="n">
        <v>3.94</v>
      </c>
      <c r="G78" s="7" t="inlineStr">
        <is>
          <t>KGM</t>
        </is>
      </c>
      <c r="H78" s="16" t="n">
        <f>UPPER(AX78)</f>
        <v>0.0</v>
      </c>
      <c r="I78" s="16" t="n">
        <f>UPPER(AY78)</f>
        <v>0.0</v>
      </c>
      <c r="J78" s="16" t="inlineStr">
        <is>
          <t>五井</t>
        </is>
      </c>
      <c r="K78" s="25" t="n">
        <f>UPPER(J78)</f>
        <v>0.0</v>
      </c>
      <c r="L78" s="25"/>
      <c r="M78" s="26" t="n">
        <f>AU78&amp;AV78&amp;AW78&amp;BD78</f>
        <v>0.0</v>
      </c>
      <c r="N78" s="27" t="n">
        <f>UPPER(M78)</f>
        <v>0.0</v>
      </c>
      <c r="O78" s="28" t="n">
        <f>MID(N78,MIN(IFERROR(FIND({0,1,2,3,4,5,6,7,8,9},N78),LEN(N78)+1)),LEN(N78))</f>
        <v>0.0</v>
      </c>
      <c r="P78" s="28" t="n">
        <f>L78&amp;" "&amp;O78</f>
        <v>0.0</v>
      </c>
      <c r="Q78" s="27" t="inlineStr">
        <is>
          <t>335-0021</t>
        </is>
      </c>
      <c r="R78" s="30" t="inlineStr">
        <is>
          <t>8097169507</t>
        </is>
      </c>
      <c r="S78" s="31" t="inlineStr">
        <is>
          <t xml:space="preserve">HUI ZHOU JING SHAN GONG MAO YOU XIAN GONG SI </t>
        </is>
      </c>
      <c r="T78" s="31" t="inlineStr">
        <is>
          <t>GUANG DONG SHENG HUI ZHOU SHI HUI CHENG QU QIAO DONG JIE DAO HUI ZHOU SHI HUI ZHOU DA DAO 108 HAO</t>
        </is>
      </c>
      <c r="U78" s="32" t="inlineStr">
        <is>
          <t>C&amp;F</t>
        </is>
      </c>
      <c r="V78" s="32" t="inlineStr">
        <is>
          <t>JPY</t>
        </is>
      </c>
      <c r="W78" s="33"/>
      <c r="X78" s="34" t="n">
        <f>INT(AZ78)</f>
        <v>0.0</v>
      </c>
      <c r="Y78" s="32" t="inlineStr">
        <is>
          <t>A</t>
        </is>
      </c>
      <c r="Z78" s="32" t="inlineStr">
        <is>
          <t>JPY</t>
        </is>
      </c>
      <c r="AA78" s="32"/>
      <c r="AB78" s="32" t="inlineStr">
        <is>
          <t>CN</t>
        </is>
      </c>
      <c r="AD78" s="27" t="inlineStr">
        <is>
          <t>五井</t>
        </is>
      </c>
      <c r="AE78" s="7" t="n">
        <f>AU78&amp;AV78&amp;AW78&amp;BD78</f>
        <v>0.0</v>
      </c>
      <c r="AF78" s="7" t="inlineStr">
        <is>
          <t>8097169507</t>
        </is>
      </c>
      <c r="AG78" s="7" t="inlineStr">
        <is>
          <t>335-0021</t>
        </is>
      </c>
      <c r="AH78" s="7"/>
      <c r="AI78" s="7" t="n">
        <f>BB78&amp;BC78&amp;BA78</f>
        <v>0.0</v>
      </c>
      <c r="AJ78" s="7" t="inlineStr">
        <is>
          <t xml:space="preserve"> </t>
        </is>
      </c>
      <c r="AK78" s="39" t="inlineStr">
        <is>
          <t>C</t>
        </is>
      </c>
      <c r="AL78" s="39" t="n">
        <v>1.0</v>
      </c>
      <c r="AM78" s="27" t="n">
        <f>IF(OR(ISNUMBER(SEARCH("amazon",AH78)),ISNUMBER(SEARCH("亚马逊",AH78))),"PUS001",IF(OR(ISNUMBER(SEARCH("rakuten",AH78)),ISNUMBER(SEARCH("楽天",AH78)),ISNUMBER(SEARCH("乐天",AH78))),"PJP001",IF(ISNUMBER(SEARCH("tik tok shop",AH78)),"PSG003",IF(ISNUMBER(SEARCH("temu",AH78)),"PSG001",IF(ISNUMBER(SEARCH("shein",AH78)),"JSG001",IF(OR(ISNUMBER(SEARCH("yahoo",AH78)),ISNUMBER(SEARCH("雅虎",AH78)),ISNUMBER(SEARCH("雅",AH78)),LEFT(UPPER(AH78),1)="Y"),"PJP005",IF(ISNUMBER(SEARCH("DDA JAPAN",AH78)),CHOOSE(RANDBETWEEN(1,3),"temu","PSG003","PSG001"),"JCNZZZ")))))))</f>
        <v>0.0</v>
      </c>
      <c r="AN78" s="7" t="n">
        <f>IF(ISNUMBER(SEARCH("JCNZZZ",AM78)),CHOOSE(RANDBETWEEN(1,4),"TAOBAO0","JinDdong","PingDduoDduo","ALIBABA"),"")</f>
        <v>0.0</v>
      </c>
      <c r="AU78" s="7"/>
      <c r="AV78" s="7"/>
      <c r="AW78" s="7" t="inlineStr">
        <is>
          <t>埼玉県戸田市新曽802-2 エクリューズ 204</t>
        </is>
      </c>
      <c r="AX78" s="7" t="inlineStr">
        <is>
          <t>plastic toys</t>
        </is>
      </c>
      <c r="AY78" s="7" t="inlineStr">
        <is>
          <t>ABS</t>
        </is>
      </c>
      <c r="AZ78" s="7" t="n">
        <v>12.8</v>
      </c>
      <c r="BA78" s="7" t="inlineStr">
        <is>
          <t xml:space="preserve"> </t>
        </is>
      </c>
      <c r="BB78" s="7"/>
      <c r="BC78" s="7"/>
      <c r="BD78" s="7"/>
    </row>
    <row r="79" customHeight="true" ht="33.0">
      <c r="A79" s="13" t="inlineStr">
        <is>
          <t>DIDA</t>
        </is>
      </c>
      <c r="B79" s="14"/>
      <c r="C79" s="15" t="inlineStr">
        <is>
          <t>365027493574</t>
        </is>
      </c>
      <c r="D79" s="15" t="inlineStr">
        <is>
          <t>365027493574</t>
        </is>
      </c>
      <c r="E79" s="7" t="n">
        <v>1.0</v>
      </c>
      <c r="F79" s="11" t="n">
        <v>0.92</v>
      </c>
      <c r="G79" s="7" t="inlineStr">
        <is>
          <t>KGM</t>
        </is>
      </c>
      <c r="H79" s="16" t="n">
        <f>UPPER(AX79)</f>
        <v>0.0</v>
      </c>
      <c r="I79" s="16" t="n">
        <f>UPPER(AY79)</f>
        <v>0.0</v>
      </c>
      <c r="J79" s="16" t="inlineStr">
        <is>
          <t>宮丘 輝一郎</t>
        </is>
      </c>
      <c r="K79" s="25" t="n">
        <f>UPPER(J79)</f>
        <v>0.0</v>
      </c>
      <c r="L79" s="25"/>
      <c r="M79" s="26" t="n">
        <f>AU79&amp;AV79&amp;AW79&amp;BD79</f>
        <v>0.0</v>
      </c>
      <c r="N79" s="27" t="n">
        <f>UPPER(M79)</f>
        <v>0.0</v>
      </c>
      <c r="O79" s="28" t="n">
        <f>MID(N79,MIN(IFERROR(FIND({0,1,2,3,4,5,6,7,8,9},N79),LEN(N79)+1)),LEN(N79))</f>
        <v>0.0</v>
      </c>
      <c r="P79" s="28" t="n">
        <f>L79&amp;" "&amp;O79</f>
        <v>0.0</v>
      </c>
      <c r="Q79" s="27" t="inlineStr">
        <is>
          <t>880-0926</t>
        </is>
      </c>
      <c r="R79" s="30" t="inlineStr">
        <is>
          <t>090-7478-6910</t>
        </is>
      </c>
      <c r="S79" s="31" t="inlineStr">
        <is>
          <t xml:space="preserve">HUI ZHOU JING SHAN GONG MAO YOU XIAN GONG SI </t>
        </is>
      </c>
      <c r="T79" s="31" t="inlineStr">
        <is>
          <t>GUANG DONG SHENG HUI ZHOU SHI HUI CHENG QU QIAO DONG JIE DAO HUI ZHOU SHI HUI ZHOU DA DAO 108 HAO</t>
        </is>
      </c>
      <c r="U79" s="32" t="inlineStr">
        <is>
          <t>C&amp;F</t>
        </is>
      </c>
      <c r="V79" s="32" t="inlineStr">
        <is>
          <t>JPY</t>
        </is>
      </c>
      <c r="W79" s="33"/>
      <c r="X79" s="34" t="n">
        <f>INT(AZ79)</f>
        <v>0.0</v>
      </c>
      <c r="Y79" s="32" t="inlineStr">
        <is>
          <t>A</t>
        </is>
      </c>
      <c r="Z79" s="32" t="inlineStr">
        <is>
          <t>JPY</t>
        </is>
      </c>
      <c r="AA79" s="32"/>
      <c r="AB79" s="32" t="inlineStr">
        <is>
          <t>CN</t>
        </is>
      </c>
      <c r="AD79" s="27" t="inlineStr">
        <is>
          <t>宮丘 輝一郎</t>
        </is>
      </c>
      <c r="AE79" s="7" t="n">
        <f>AU79&amp;AV79&amp;AW79&amp;BD79</f>
        <v>0.0</v>
      </c>
      <c r="AF79" s="7" t="inlineStr">
        <is>
          <t>090-7478-6910</t>
        </is>
      </c>
      <c r="AG79" s="7" t="inlineStr">
        <is>
          <t>880-0926</t>
        </is>
      </c>
      <c r="AH79" s="7" t="inlineStr">
        <is>
          <t/>
        </is>
      </c>
      <c r="AI79" s="7" t="n">
        <f>BB79&amp;BC79&amp;BA79</f>
        <v>0.0</v>
      </c>
      <c r="AJ79" s="7" t="inlineStr">
        <is>
          <t xml:space="preserve"> 08085450013</t>
        </is>
      </c>
      <c r="AK79" s="39" t="inlineStr">
        <is>
          <t>C</t>
        </is>
      </c>
      <c r="AL79" s="39" t="n">
        <v>1.0</v>
      </c>
      <c r="AM79" s="27" t="n">
        <f>IF(OR(ISNUMBER(SEARCH("amazon",AH79)),ISNUMBER(SEARCH("亚马逊",AH79))),"PUS001",IF(OR(ISNUMBER(SEARCH("rakuten",AH79)),ISNUMBER(SEARCH("楽天",AH79)),ISNUMBER(SEARCH("乐天",AH79))),"PJP001",IF(ISNUMBER(SEARCH("tik tok shop",AH79)),"PSG003",IF(ISNUMBER(SEARCH("temu",AH79)),"PSG001",IF(ISNUMBER(SEARCH("shein",AH79)),"JSG001",IF(OR(ISNUMBER(SEARCH("yahoo",AH79)),ISNUMBER(SEARCH("雅虎",AH79)),ISNUMBER(SEARCH("雅",AH79)),LEFT(UPPER(AH79),1)="Y"),"PJP005",IF(ISNUMBER(SEARCH("DDA JAPAN",AH79)),CHOOSE(RANDBETWEEN(1,3),"temu","PSG003","PSG001"),"JCNZZZ")))))))</f>
        <v>0.0</v>
      </c>
      <c r="AN79" s="7" t="n">
        <f>IF(ISNUMBER(SEARCH("JCNZZZ",AM79)),CHOOSE(RANDBETWEEN(1,4),"TAOBAO0","JinDdong","PingDduoDduo","ALIBABA"),"")</f>
        <v>0.0</v>
      </c>
      <c r="AU79" s="7" t="inlineStr">
        <is>
          <t>宮崎県</t>
        </is>
      </c>
      <c r="AV79" s="7" t="inlineStr">
        <is>
          <t>宮崎市</t>
        </is>
      </c>
      <c r="AW79" s="7" t="inlineStr">
        <is>
          <t>月見ケ丘4-21-23</t>
        </is>
      </c>
      <c r="AX79" s="7" t="inlineStr">
        <is>
          <t>toy</t>
        </is>
      </c>
      <c r="AY79" s="7" t="inlineStr">
        <is>
          <t>plastic</t>
        </is>
      </c>
      <c r="AZ79" s="7" t="n">
        <v>36.37</v>
      </c>
      <c r="BA79" s="7" t="inlineStr">
        <is>
          <t xml:space="preserve"> 中百舌鳥町6丁目１００１-5盲亀浮木の店</t>
        </is>
      </c>
      <c r="BB79" s="7" t="inlineStr">
        <is>
          <t>大阪府</t>
        </is>
      </c>
      <c r="BC79" s="7" t="inlineStr">
        <is>
          <t>堺市</t>
        </is>
      </c>
      <c r="BD79" s="7" t="inlineStr">
        <is>
          <t/>
        </is>
      </c>
    </row>
    <row r="80" customHeight="true" ht="33.0">
      <c r="A80" s="13" t="inlineStr">
        <is>
          <t>DIDA</t>
        </is>
      </c>
      <c r="B80" s="14"/>
      <c r="C80" s="15" t="inlineStr">
        <is>
          <t>365027492664</t>
        </is>
      </c>
      <c r="D80" s="15" t="inlineStr">
        <is>
          <t>365027492664</t>
        </is>
      </c>
      <c r="E80" s="7" t="n">
        <v>1.0</v>
      </c>
      <c r="F80" s="11" t="n">
        <v>1.46</v>
      </c>
      <c r="G80" s="7" t="inlineStr">
        <is>
          <t>KGM</t>
        </is>
      </c>
      <c r="H80" s="16" t="n">
        <f>UPPER(AX80)</f>
        <v>0.0</v>
      </c>
      <c r="I80" s="16" t="n">
        <f>UPPER(AY80)</f>
        <v>0.0</v>
      </c>
      <c r="J80" s="16" t="inlineStr">
        <is>
          <t>西日本保険サービス 堀</t>
        </is>
      </c>
      <c r="K80" s="25" t="n">
        <f>UPPER(J80)</f>
        <v>0.0</v>
      </c>
      <c r="L80" s="25"/>
      <c r="M80" s="26" t="n">
        <f>AU80&amp;AV80&amp;AW80&amp;BD80</f>
        <v>0.0</v>
      </c>
      <c r="N80" s="27" t="n">
        <f>UPPER(M80)</f>
        <v>0.0</v>
      </c>
      <c r="O80" s="28" t="n">
        <f>MID(N80,MIN(IFERROR(FIND({0,1,2,3,4,5,6,7,8,9},N80),LEN(N80)+1)),LEN(N80))</f>
        <v>0.0</v>
      </c>
      <c r="P80" s="28" t="n">
        <f>L80&amp;" "&amp;O80</f>
        <v>0.0</v>
      </c>
      <c r="Q80" s="27" t="inlineStr">
        <is>
          <t>658-0064</t>
        </is>
      </c>
      <c r="R80" s="30" t="inlineStr">
        <is>
          <t>090-9051-1206</t>
        </is>
      </c>
      <c r="S80" s="31" t="inlineStr">
        <is>
          <t xml:space="preserve">HUI ZHOU JING SHAN GONG MAO YOU XIAN GONG SI </t>
        </is>
      </c>
      <c r="T80" s="31" t="inlineStr">
        <is>
          <t>GUANG DONG SHENG HUI ZHOU SHI HUI CHENG QU QIAO DONG JIE DAO HUI ZHOU SHI HUI ZHOU DA DAO 108 HAO</t>
        </is>
      </c>
      <c r="U80" s="32" t="inlineStr">
        <is>
          <t>C&amp;F</t>
        </is>
      </c>
      <c r="V80" s="32" t="inlineStr">
        <is>
          <t>JPY</t>
        </is>
      </c>
      <c r="W80" s="33"/>
      <c r="X80" s="34" t="n">
        <f>INT(AZ80)</f>
        <v>0.0</v>
      </c>
      <c r="Y80" s="32" t="inlineStr">
        <is>
          <t>A</t>
        </is>
      </c>
      <c r="Z80" s="32" t="inlineStr">
        <is>
          <t>JPY</t>
        </is>
      </c>
      <c r="AA80" s="32"/>
      <c r="AB80" s="32" t="inlineStr">
        <is>
          <t>CN</t>
        </is>
      </c>
      <c r="AD80" s="27" t="inlineStr">
        <is>
          <t>西日本保険サービス 堀</t>
        </is>
      </c>
      <c r="AE80" s="7" t="n">
        <f>AU80&amp;AV80&amp;AW80&amp;BD80</f>
        <v>0.0</v>
      </c>
      <c r="AF80" s="7" t="inlineStr">
        <is>
          <t>090-9051-1206</t>
        </is>
      </c>
      <c r="AG80" s="7" t="inlineStr">
        <is>
          <t>658-0064</t>
        </is>
      </c>
      <c r="AH80" s="7" t="inlineStr">
        <is>
          <t>JETMILLIO楽天市場店</t>
        </is>
      </c>
      <c r="AI80" s="7" t="n">
        <f>BB80&amp;BC80&amp;BA80</f>
        <v>0.0</v>
      </c>
      <c r="AJ80" s="7" t="inlineStr">
        <is>
          <t xml:space="preserve"> 050-3181-9787</t>
        </is>
      </c>
      <c r="AK80" s="39" t="inlineStr">
        <is>
          <t>C</t>
        </is>
      </c>
      <c r="AL80" s="39" t="n">
        <v>1.0</v>
      </c>
      <c r="AM80" s="27" t="n">
        <f>IF(OR(ISNUMBER(SEARCH("amazon",AH80)),ISNUMBER(SEARCH("亚马逊",AH80))),"PUS001",IF(OR(ISNUMBER(SEARCH("rakuten",AH80)),ISNUMBER(SEARCH("楽天",AH80)),ISNUMBER(SEARCH("乐天",AH80))),"PJP001",IF(ISNUMBER(SEARCH("tik tok shop",AH80)),"PSG003",IF(ISNUMBER(SEARCH("temu",AH80)),"PSG001",IF(ISNUMBER(SEARCH("shein",AH80)),"JSG001",IF(OR(ISNUMBER(SEARCH("yahoo",AH80)),ISNUMBER(SEARCH("雅虎",AH80)),ISNUMBER(SEARCH("雅",AH80)),LEFT(UPPER(AH80),1)="Y"),"PJP005",IF(ISNUMBER(SEARCH("DDA JAPAN",AH80)),CHOOSE(RANDBETWEEN(1,3),"temu","PSG003","PSG001"),"JCNZZZ")))))))</f>
        <v>0.0</v>
      </c>
      <c r="AN80" s="7" t="n">
        <f>IF(ISNUMBER(SEARCH("JCNZZZ",AM80)),CHOOSE(RANDBETWEEN(1,4),"TAOBAO0","JinDdong","PingDduoDduo","ALIBABA"),"")</f>
        <v>0.0</v>
      </c>
      <c r="AU80" s="7" t="inlineStr">
        <is>
          <t>兵庫県</t>
        </is>
      </c>
      <c r="AV80" s="7" t="inlineStr">
        <is>
          <t>神戸市</t>
        </is>
      </c>
      <c r="AW80" s="7" t="inlineStr">
        <is>
          <t>東灘区鴨子ヶ原3丁目7番25ー2号</t>
        </is>
      </c>
      <c r="AX80" s="7" t="inlineStr">
        <is>
          <t>Solar outdoor lamp,solar light</t>
        </is>
      </c>
      <c r="AY80" s="7" t="inlineStr">
        <is>
          <t>ABS</t>
        </is>
      </c>
      <c r="AZ80" s="7" t="n">
        <v>17.0</v>
      </c>
      <c r="BA80" s="7" t="inlineStr">
        <is>
          <t xml:space="preserve"> 東京都大田区上池台３－２４－１４スターハイツ洗足池２　２０２</t>
        </is>
      </c>
      <c r="BB80" s="7"/>
      <c r="BC80" s="7"/>
      <c r="BD80" s="7"/>
    </row>
    <row r="81" customHeight="true" ht="33.0">
      <c r="A81" s="13" t="inlineStr">
        <is>
          <t>DIDA</t>
        </is>
      </c>
      <c r="B81" s="14"/>
      <c r="C81" s="15" t="inlineStr">
        <is>
          <t>365027469262</t>
        </is>
      </c>
      <c r="D81" s="15" t="inlineStr">
        <is>
          <t>365027469262</t>
        </is>
      </c>
      <c r="E81" s="7" t="n">
        <v>1.0</v>
      </c>
      <c r="F81" s="11" t="n">
        <v>0.68</v>
      </c>
      <c r="G81" s="7" t="inlineStr">
        <is>
          <t>KGM</t>
        </is>
      </c>
      <c r="H81" s="16" t="n">
        <f>UPPER(AX81)</f>
        <v>0.0</v>
      </c>
      <c r="I81" s="16" t="n">
        <f>UPPER(AY81)</f>
        <v>0.0</v>
      </c>
      <c r="J81" s="16" t="inlineStr">
        <is>
          <t>津田朋美</t>
        </is>
      </c>
      <c r="K81" s="25" t="n">
        <f>UPPER(J81)</f>
        <v>0.0</v>
      </c>
      <c r="L81" s="25"/>
      <c r="M81" s="26" t="n">
        <f>AU81&amp;AV81&amp;AW81&amp;BD81</f>
        <v>0.0</v>
      </c>
      <c r="N81" s="27" t="n">
        <f>UPPER(M81)</f>
        <v>0.0</v>
      </c>
      <c r="O81" s="28" t="n">
        <f>MID(N81,MIN(IFERROR(FIND({0,1,2,3,4,5,6,7,8,9},N81),LEN(N81)+1)),LEN(N81))</f>
        <v>0.0</v>
      </c>
      <c r="P81" s="28" t="n">
        <f>L81&amp;" "&amp;O81</f>
        <v>0.0</v>
      </c>
      <c r="Q81" s="27" t="inlineStr">
        <is>
          <t>577-0806</t>
        </is>
      </c>
      <c r="R81" s="30" t="inlineStr">
        <is>
          <t>080-9749-7494</t>
        </is>
      </c>
      <c r="S81" s="31" t="inlineStr">
        <is>
          <t xml:space="preserve">HUI ZHOU JING SHAN GONG MAO YOU XIAN GONG SI </t>
        </is>
      </c>
      <c r="T81" s="31" t="inlineStr">
        <is>
          <t>GUANG DONG SHENG HUI ZHOU SHI HUI CHENG QU QIAO DONG JIE DAO HUI ZHOU SHI HUI ZHOU DA DAO 108 HAO</t>
        </is>
      </c>
      <c r="U81" s="32" t="inlineStr">
        <is>
          <t>C&amp;F</t>
        </is>
      </c>
      <c r="V81" s="32" t="inlineStr">
        <is>
          <t>JPY</t>
        </is>
      </c>
      <c r="W81" s="33"/>
      <c r="X81" s="34" t="n">
        <f>INT(AZ81)</f>
        <v>0.0</v>
      </c>
      <c r="Y81" s="32" t="inlineStr">
        <is>
          <t>A</t>
        </is>
      </c>
      <c r="Z81" s="32" t="inlineStr">
        <is>
          <t>JPY</t>
        </is>
      </c>
      <c r="AA81" s="32"/>
      <c r="AB81" s="32" t="inlineStr">
        <is>
          <t>CN</t>
        </is>
      </c>
      <c r="AD81" s="27" t="inlineStr">
        <is>
          <t>津田朋美</t>
        </is>
      </c>
      <c r="AE81" s="7" t="n">
        <f>AU81&amp;AV81&amp;AW81&amp;BD81</f>
        <v>0.0</v>
      </c>
      <c r="AF81" s="7" t="inlineStr">
        <is>
          <t>080-9749-7494</t>
        </is>
      </c>
      <c r="AG81" s="7" t="inlineStr">
        <is>
          <t>577-0806</t>
        </is>
      </c>
      <c r="AH81" s="7"/>
      <c r="AI81" s="7" t="n">
        <f>BB81&amp;BC81&amp;BA81</f>
        <v>0.0</v>
      </c>
      <c r="AJ81" s="7" t="inlineStr">
        <is>
          <t xml:space="preserve"> </t>
        </is>
      </c>
      <c r="AK81" s="39" t="inlineStr">
        <is>
          <t>C</t>
        </is>
      </c>
      <c r="AL81" s="39" t="n">
        <v>1.0</v>
      </c>
      <c r="AM81" s="27" t="n">
        <f>IF(OR(ISNUMBER(SEARCH("amazon",AH81)),ISNUMBER(SEARCH("亚马逊",AH81))),"PUS001",IF(OR(ISNUMBER(SEARCH("rakuten",AH81)),ISNUMBER(SEARCH("楽天",AH81)),ISNUMBER(SEARCH("乐天",AH81))),"PJP001",IF(ISNUMBER(SEARCH("tik tok shop",AH81)),"PSG003",IF(ISNUMBER(SEARCH("temu",AH81)),"PSG001",IF(ISNUMBER(SEARCH("shein",AH81)),"JSG001",IF(OR(ISNUMBER(SEARCH("yahoo",AH81)),ISNUMBER(SEARCH("雅虎",AH81)),ISNUMBER(SEARCH("雅",AH81)),LEFT(UPPER(AH81),1)="Y"),"PJP005",IF(ISNUMBER(SEARCH("DDA JAPAN",AH81)),CHOOSE(RANDBETWEEN(1,3),"temu","PSG003","PSG001"),"JCNZZZ")))))))</f>
        <v>0.0</v>
      </c>
      <c r="AN81" s="7" t="n">
        <f>IF(ISNUMBER(SEARCH("JCNZZZ",AM81)),CHOOSE(RANDBETWEEN(1,4),"TAOBAO0","JinDdong","PingDduoDduo","ALIBABA"),"")</f>
        <v>0.0</v>
      </c>
      <c r="AU81" s="7"/>
      <c r="AV81" s="7"/>
      <c r="AW81" s="7" t="inlineStr">
        <is>
          <t>大阪府東大阪市上小阪2-8-12</t>
        </is>
      </c>
      <c r="AX81" s="7" t="inlineStr">
        <is>
          <t>humidifier</t>
        </is>
      </c>
      <c r="AY81" s="7" t="inlineStr">
        <is>
          <t>ABS</t>
        </is>
      </c>
      <c r="AZ81" s="7" t="n">
        <v>10.0</v>
      </c>
      <c r="BA81" s="7" t="inlineStr">
        <is>
          <t xml:space="preserve"> </t>
        </is>
      </c>
      <c r="BB81" s="7"/>
      <c r="BC81" s="7"/>
      <c r="BD81" s="7"/>
    </row>
    <row r="82" customHeight="true" ht="33.0">
      <c r="A82" s="13" t="inlineStr">
        <is>
          <t>DIDA</t>
        </is>
      </c>
      <c r="B82" s="14"/>
      <c r="C82" s="15" t="inlineStr">
        <is>
          <t>365027493810</t>
        </is>
      </c>
      <c r="D82" s="15" t="inlineStr">
        <is>
          <t>365027493810</t>
        </is>
      </c>
      <c r="E82" s="7" t="n">
        <v>1.0</v>
      </c>
      <c r="F82" s="11" t="n">
        <v>0.6</v>
      </c>
      <c r="G82" s="7" t="inlineStr">
        <is>
          <t>KGM</t>
        </is>
      </c>
      <c r="H82" s="16" t="n">
        <f>UPPER(AX82)</f>
        <v>0.0</v>
      </c>
      <c r="I82" s="16" t="n">
        <f>UPPER(AY82)</f>
        <v>0.0</v>
      </c>
      <c r="J82" s="16" t="inlineStr">
        <is>
          <t>小川 香織 [オガワ カオリ]</t>
        </is>
      </c>
      <c r="K82" s="25" t="n">
        <f>UPPER(J82)</f>
        <v>0.0</v>
      </c>
      <c r="L82" s="25"/>
      <c r="M82" s="26" t="n">
        <f>AU82&amp;AV82&amp;AW82&amp;BD82</f>
        <v>0.0</v>
      </c>
      <c r="N82" s="27" t="n">
        <f>UPPER(M82)</f>
        <v>0.0</v>
      </c>
      <c r="O82" s="28" t="n">
        <f>MID(N82,MIN(IFERROR(FIND({0,1,2,3,4,5,6,7,8,9},N82),LEN(N82)+1)),LEN(N82))</f>
        <v>0.0</v>
      </c>
      <c r="P82" s="28" t="n">
        <f>L82&amp;" "&amp;O82</f>
        <v>0.0</v>
      </c>
      <c r="Q82" s="27" t="inlineStr">
        <is>
          <t>004-0003</t>
        </is>
      </c>
      <c r="R82" s="30" t="inlineStr">
        <is>
          <t>011-556-5838</t>
        </is>
      </c>
      <c r="S82" s="31" t="inlineStr">
        <is>
          <t xml:space="preserve">HUI ZHOU JING SHAN GONG MAO YOU XIAN GONG SI </t>
        </is>
      </c>
      <c r="T82" s="31" t="inlineStr">
        <is>
          <t>GUANG DONG SHENG HUI ZHOU SHI HUI CHENG QU QIAO DONG JIE DAO HUI ZHOU SHI HUI ZHOU DA DAO 108 HAO</t>
        </is>
      </c>
      <c r="U82" s="32" t="inlineStr">
        <is>
          <t>C&amp;F</t>
        </is>
      </c>
      <c r="V82" s="32" t="inlineStr">
        <is>
          <t>JPY</t>
        </is>
      </c>
      <c r="W82" s="33"/>
      <c r="X82" s="34" t="n">
        <f>INT(AZ82)</f>
        <v>0.0</v>
      </c>
      <c r="Y82" s="32" t="inlineStr">
        <is>
          <t>A</t>
        </is>
      </c>
      <c r="Z82" s="32" t="inlineStr">
        <is>
          <t>JPY</t>
        </is>
      </c>
      <c r="AA82" s="32"/>
      <c r="AB82" s="32" t="inlineStr">
        <is>
          <t>CN</t>
        </is>
      </c>
      <c r="AD82" s="27" t="inlineStr">
        <is>
          <t>小川 香織 [オガワ カオリ]</t>
        </is>
      </c>
      <c r="AE82" s="7" t="n">
        <f>AU82&amp;AV82&amp;AW82&amp;BD82</f>
        <v>0.0</v>
      </c>
      <c r="AF82" s="7" t="inlineStr">
        <is>
          <t>011-556-5838</t>
        </is>
      </c>
      <c r="AG82" s="7" t="inlineStr">
        <is>
          <t>004-0003</t>
        </is>
      </c>
      <c r="AH82" s="7" t="inlineStr">
        <is>
          <t>楽天-eightyone-H</t>
        </is>
      </c>
      <c r="AI82" s="7" t="n">
        <f>BB82&amp;BC82&amp;BA82</f>
        <v>0.0</v>
      </c>
      <c r="AJ82" s="7" t="inlineStr">
        <is>
          <t xml:space="preserve"> 036-161-6083</t>
        </is>
      </c>
      <c r="AK82" s="39" t="inlineStr">
        <is>
          <t>C</t>
        </is>
      </c>
      <c r="AL82" s="39" t="n">
        <v>1.0</v>
      </c>
      <c r="AM82" s="27" t="n">
        <f>IF(OR(ISNUMBER(SEARCH("amazon",AH82)),ISNUMBER(SEARCH("亚马逊",AH82))),"PUS001",IF(OR(ISNUMBER(SEARCH("rakuten",AH82)),ISNUMBER(SEARCH("楽天",AH82)),ISNUMBER(SEARCH("乐天",AH82))),"PJP001",IF(ISNUMBER(SEARCH("tik tok shop",AH82)),"PSG003",IF(ISNUMBER(SEARCH("temu",AH82)),"PSG001",IF(ISNUMBER(SEARCH("shein",AH82)),"JSG001",IF(OR(ISNUMBER(SEARCH("yahoo",AH82)),ISNUMBER(SEARCH("雅虎",AH82)),ISNUMBER(SEARCH("雅",AH82)),LEFT(UPPER(AH82),1)="Y"),"PJP005",IF(ISNUMBER(SEARCH("DDA JAPAN",AH82)),CHOOSE(RANDBETWEEN(1,3),"temu","PSG003","PSG001"),"JCNZZZ")))))))</f>
        <v>0.0</v>
      </c>
      <c r="AN82" s="7" t="n">
        <f>IF(ISNUMBER(SEARCH("JCNZZZ",AM82)),CHOOSE(RANDBETWEEN(1,4),"TAOBAO0","JinDdong","PingDduoDduo","ALIBABA"),"")</f>
        <v>0.0</v>
      </c>
      <c r="AU82" s="7" t="inlineStr">
        <is>
          <t>北海道</t>
        </is>
      </c>
      <c r="AV82" s="7" t="inlineStr">
        <is>
          <t>札幌市厚別区</t>
        </is>
      </c>
      <c r="AW82" s="7" t="inlineStr">
        <is>
          <t>厚別東三条3丁目9-30</t>
        </is>
      </c>
      <c r="AX82" s="7" t="inlineStr">
        <is>
          <t>Night light</t>
        </is>
      </c>
      <c r="AY82" s="7" t="inlineStr">
        <is>
          <t>ABS</t>
        </is>
      </c>
      <c r="AZ82" s="7" t="n">
        <v>2.2</v>
      </c>
      <c r="BA82" s="7" t="inlineStr">
        <is>
          <t xml:space="preserve"> 東京都品川区平塚1-13-1</t>
        </is>
      </c>
      <c r="BB82" s="7"/>
      <c r="BC82" s="7"/>
      <c r="BD82" s="7"/>
    </row>
    <row r="83" customHeight="true" ht="33.0">
      <c r="A83" s="13" t="inlineStr">
        <is>
          <t>DIDA</t>
        </is>
      </c>
      <c r="B83" s="14"/>
      <c r="C83" s="15" t="inlineStr">
        <is>
          <t>365027493025</t>
        </is>
      </c>
      <c r="D83" s="15" t="inlineStr">
        <is>
          <t>365027493025</t>
        </is>
      </c>
      <c r="E83" s="7" t="n">
        <v>1.0</v>
      </c>
      <c r="F83" s="11" t="n">
        <v>0.58</v>
      </c>
      <c r="G83" s="7" t="inlineStr">
        <is>
          <t>KGM</t>
        </is>
      </c>
      <c r="H83" s="16" t="n">
        <f>UPPER(AX83)</f>
        <v>0.0</v>
      </c>
      <c r="I83" s="16" t="n">
        <f>UPPER(AY83)</f>
        <v>0.0</v>
      </c>
      <c r="J83" s="16" t="inlineStr">
        <is>
          <t>岩井 綾 [イワイ アヤ]</t>
        </is>
      </c>
      <c r="K83" s="25" t="n">
        <f>UPPER(J83)</f>
        <v>0.0</v>
      </c>
      <c r="L83" s="25"/>
      <c r="M83" s="26" t="n">
        <f>AU83&amp;AV83&amp;AW83&amp;BD83</f>
        <v>0.0</v>
      </c>
      <c r="N83" s="27" t="n">
        <f>UPPER(M83)</f>
        <v>0.0</v>
      </c>
      <c r="O83" s="28" t="n">
        <f>MID(N83,MIN(IFERROR(FIND({0,1,2,3,4,5,6,7,8,9},N83),LEN(N83)+1)),LEN(N83))</f>
        <v>0.0</v>
      </c>
      <c r="P83" s="28" t="n">
        <f>L83&amp;" "&amp;O83</f>
        <v>0.0</v>
      </c>
      <c r="Q83" s="27" t="inlineStr">
        <is>
          <t>331-0045</t>
        </is>
      </c>
      <c r="R83" s="30" t="inlineStr">
        <is>
          <t>080-5379-3586</t>
        </is>
      </c>
      <c r="S83" s="31" t="inlineStr">
        <is>
          <t xml:space="preserve">HUI ZHOU JING SHAN GONG MAO YOU XIAN GONG SI </t>
        </is>
      </c>
      <c r="T83" s="31" t="inlineStr">
        <is>
          <t>GUANG DONG SHENG HUI ZHOU SHI HUI CHENG QU QIAO DONG JIE DAO HUI ZHOU SHI HUI ZHOU DA DAO 108 HAO</t>
        </is>
      </c>
      <c r="U83" s="32" t="inlineStr">
        <is>
          <t>C&amp;F</t>
        </is>
      </c>
      <c r="V83" s="32" t="inlineStr">
        <is>
          <t>JPY</t>
        </is>
      </c>
      <c r="W83" s="33"/>
      <c r="X83" s="34" t="n">
        <f>INT(AZ83)</f>
        <v>0.0</v>
      </c>
      <c r="Y83" s="32" t="inlineStr">
        <is>
          <t>A</t>
        </is>
      </c>
      <c r="Z83" s="32" t="inlineStr">
        <is>
          <t>JPY</t>
        </is>
      </c>
      <c r="AA83" s="32"/>
      <c r="AB83" s="32" t="inlineStr">
        <is>
          <t>CN</t>
        </is>
      </c>
      <c r="AD83" s="27" t="inlineStr">
        <is>
          <t>岩井 綾 [イワイ アヤ]</t>
        </is>
      </c>
      <c r="AE83" s="7" t="n">
        <f>AU83&amp;AV83&amp;AW83&amp;BD83</f>
        <v>0.0</v>
      </c>
      <c r="AF83" s="7" t="inlineStr">
        <is>
          <t>080-5379-3586</t>
        </is>
      </c>
      <c r="AG83" s="7" t="inlineStr">
        <is>
          <t>331-0045</t>
        </is>
      </c>
      <c r="AH83" s="7" t="inlineStr">
        <is>
          <t>楽天-OBSESSION-L</t>
        </is>
      </c>
      <c r="AI83" s="7" t="n">
        <f>BB83&amp;BC83&amp;BA83</f>
        <v>0.0</v>
      </c>
      <c r="AJ83" s="7" t="inlineStr">
        <is>
          <t xml:space="preserve"> 05036359867</t>
        </is>
      </c>
      <c r="AK83" s="39" t="inlineStr">
        <is>
          <t>C</t>
        </is>
      </c>
      <c r="AL83" s="39" t="n">
        <v>1.0</v>
      </c>
      <c r="AM83" s="27" t="n">
        <f>IF(OR(ISNUMBER(SEARCH("amazon",AH83)),ISNUMBER(SEARCH("亚马逊",AH83))),"PUS001",IF(OR(ISNUMBER(SEARCH("rakuten",AH83)),ISNUMBER(SEARCH("楽天",AH83)),ISNUMBER(SEARCH("乐天",AH83))),"PJP001",IF(ISNUMBER(SEARCH("tik tok shop",AH83)),"PSG003",IF(ISNUMBER(SEARCH("temu",AH83)),"PSG001",IF(ISNUMBER(SEARCH("shein",AH83)),"JSG001",IF(OR(ISNUMBER(SEARCH("yahoo",AH83)),ISNUMBER(SEARCH("雅虎",AH83)),ISNUMBER(SEARCH("雅",AH83)),LEFT(UPPER(AH83),1)="Y"),"PJP005",IF(ISNUMBER(SEARCH("DDA JAPAN",AH83)),CHOOSE(RANDBETWEEN(1,3),"temu","PSG003","PSG001"),"JCNZZZ")))))))</f>
        <v>0.0</v>
      </c>
      <c r="AN83" s="7" t="n">
        <f>IF(ISNUMBER(SEARCH("JCNZZZ",AM83)),CHOOSE(RANDBETWEEN(1,4),"TAOBAO0","JinDdong","PingDduoDduo","ALIBABA"),"")</f>
        <v>0.0</v>
      </c>
      <c r="AU83" s="7" t="inlineStr">
        <is>
          <t>埼玉県</t>
        </is>
      </c>
      <c r="AV83" s="7" t="inlineStr">
        <is>
          <t>さいたま市西区</t>
        </is>
      </c>
      <c r="AW83" s="7" t="inlineStr">
        <is>
          <t>内野本郷303-13</t>
        </is>
      </c>
      <c r="AX83" s="7" t="inlineStr">
        <is>
          <t>Fan</t>
        </is>
      </c>
      <c r="AY83" s="7" t="inlineStr">
        <is>
          <t>ABS</t>
        </is>
      </c>
      <c r="AZ83" s="7" t="n">
        <v>15.0</v>
      </c>
      <c r="BA83" s="7" t="inlineStr">
        <is>
          <t xml:space="preserve"> 西成区北津守４－１３－４３</t>
        </is>
      </c>
      <c r="BB83" s="7"/>
      <c r="BC83" s="7"/>
      <c r="BD83" s="7"/>
    </row>
    <row r="84" customHeight="true" ht="33.0">
      <c r="A84" s="13" t="inlineStr">
        <is>
          <t>DIDA</t>
        </is>
      </c>
      <c r="B84" s="14"/>
      <c r="C84" s="15" t="inlineStr">
        <is>
          <t>365027469251</t>
        </is>
      </c>
      <c r="D84" s="15" t="inlineStr">
        <is>
          <t>365027469251</t>
        </is>
      </c>
      <c r="E84" s="7" t="n">
        <v>1.0</v>
      </c>
      <c r="F84" s="11" t="n">
        <v>0.8</v>
      </c>
      <c r="G84" s="7" t="inlineStr">
        <is>
          <t>KGM</t>
        </is>
      </c>
      <c r="H84" s="16" t="n">
        <f>UPPER(AX84)</f>
        <v>0.0</v>
      </c>
      <c r="I84" s="16" t="n">
        <f>UPPER(AY84)</f>
        <v>0.0</v>
      </c>
      <c r="J84" s="16" t="inlineStr">
        <is>
          <t>大杉真奈美</t>
        </is>
      </c>
      <c r="K84" s="25" t="n">
        <f>UPPER(J84)</f>
        <v>0.0</v>
      </c>
      <c r="L84" s="25"/>
      <c r="M84" s="26" t="n">
        <f>AU84&amp;AV84&amp;AW84&amp;BD84</f>
        <v>0.0</v>
      </c>
      <c r="N84" s="27" t="n">
        <f>UPPER(M84)</f>
        <v>0.0</v>
      </c>
      <c r="O84" s="28" t="n">
        <f>MID(N84,MIN(IFERROR(FIND({0,1,2,3,4,5,6,7,8,9},N84),LEN(N84)+1)),LEN(N84))</f>
        <v>0.0</v>
      </c>
      <c r="P84" s="28" t="n">
        <f>L84&amp;" "&amp;O84</f>
        <v>0.0</v>
      </c>
      <c r="Q84" s="27" t="inlineStr">
        <is>
          <t>707-0412</t>
        </is>
      </c>
      <c r="R84" s="30" t="inlineStr">
        <is>
          <t>090-3176-7042</t>
        </is>
      </c>
      <c r="S84" s="31" t="inlineStr">
        <is>
          <t xml:space="preserve">HUI ZHOU JING SHAN GONG MAO YOU XIAN GONG SI </t>
        </is>
      </c>
      <c r="T84" s="31" t="inlineStr">
        <is>
          <t>GUANG DONG SHENG HUI ZHOU SHI HUI CHENG QU QIAO DONG JIE DAO HUI ZHOU SHI HUI ZHOU DA DAO 108 HAO</t>
        </is>
      </c>
      <c r="U84" s="32" t="inlineStr">
        <is>
          <t>C&amp;F</t>
        </is>
      </c>
      <c r="V84" s="32" t="inlineStr">
        <is>
          <t>JPY</t>
        </is>
      </c>
      <c r="W84" s="33"/>
      <c r="X84" s="34" t="n">
        <f>INT(AZ84)</f>
        <v>0.0</v>
      </c>
      <c r="Y84" s="32" t="inlineStr">
        <is>
          <t>A</t>
        </is>
      </c>
      <c r="Z84" s="32" t="inlineStr">
        <is>
          <t>JPY</t>
        </is>
      </c>
      <c r="AA84" s="32"/>
      <c r="AB84" s="32" t="inlineStr">
        <is>
          <t>CN</t>
        </is>
      </c>
      <c r="AD84" s="27" t="inlineStr">
        <is>
          <t>大杉真奈美</t>
        </is>
      </c>
      <c r="AE84" s="7" t="n">
        <f>AU84&amp;AV84&amp;AW84&amp;BD84</f>
        <v>0.0</v>
      </c>
      <c r="AF84" s="7" t="inlineStr">
        <is>
          <t>090-3176-7042</t>
        </is>
      </c>
      <c r="AG84" s="7" t="inlineStr">
        <is>
          <t>707-0412</t>
        </is>
      </c>
      <c r="AH84" s="7"/>
      <c r="AI84" s="7" t="n">
        <f>BB84&amp;BC84&amp;BA84</f>
        <v>0.0</v>
      </c>
      <c r="AJ84" s="7" t="inlineStr">
        <is>
          <t xml:space="preserve"> </t>
        </is>
      </c>
      <c r="AK84" s="39" t="inlineStr">
        <is>
          <t>C</t>
        </is>
      </c>
      <c r="AL84" s="39" t="n">
        <v>1.0</v>
      </c>
      <c r="AM84" s="27" t="n">
        <f>IF(OR(ISNUMBER(SEARCH("amazon",AH84)),ISNUMBER(SEARCH("亚马逊",AH84))),"PUS001",IF(OR(ISNUMBER(SEARCH("rakuten",AH84)),ISNUMBER(SEARCH("楽天",AH84)),ISNUMBER(SEARCH("乐天",AH84))),"PJP001",IF(ISNUMBER(SEARCH("tik tok shop",AH84)),"PSG003",IF(ISNUMBER(SEARCH("temu",AH84)),"PSG001",IF(ISNUMBER(SEARCH("shein",AH84)),"JSG001",IF(OR(ISNUMBER(SEARCH("yahoo",AH84)),ISNUMBER(SEARCH("雅虎",AH84)),ISNUMBER(SEARCH("雅",AH84)),LEFT(UPPER(AH84),1)="Y"),"PJP005",IF(ISNUMBER(SEARCH("DDA JAPAN",AH84)),CHOOSE(RANDBETWEEN(1,3),"temu","PSG003","PSG001"),"JCNZZZ")))))))</f>
        <v>0.0</v>
      </c>
      <c r="AN84" s="7" t="n">
        <f>IF(ISNUMBER(SEARCH("JCNZZZ",AM84)),CHOOSE(RANDBETWEEN(1,4),"TAOBAO0","JinDdong","PingDduoDduo","ALIBABA"),"")</f>
        <v>0.0</v>
      </c>
      <c r="AU84" s="7"/>
      <c r="AV84" s="7"/>
      <c r="AW84" s="7" t="inlineStr">
        <is>
          <t>岡山県美作市古町1902-1</t>
        </is>
      </c>
      <c r="AX84" s="7" t="inlineStr">
        <is>
          <t>heater</t>
        </is>
      </c>
      <c r="AY84" s="7" t="inlineStr">
        <is>
          <t>ABS</t>
        </is>
      </c>
      <c r="AZ84" s="7" t="n">
        <v>10.0</v>
      </c>
      <c r="BA84" s="7" t="inlineStr">
        <is>
          <t xml:space="preserve"> </t>
        </is>
      </c>
      <c r="BB84" s="7"/>
      <c r="BC84" s="7"/>
      <c r="BD84" s="7"/>
    </row>
    <row r="85" customHeight="true" ht="33.0">
      <c r="A85" s="13" t="inlineStr">
        <is>
          <t>DIDA</t>
        </is>
      </c>
      <c r="B85" s="14"/>
      <c r="C85" s="15" t="inlineStr">
        <is>
          <t>365027469903</t>
        </is>
      </c>
      <c r="D85" s="15" t="inlineStr">
        <is>
          <t>365027469903</t>
        </is>
      </c>
      <c r="E85" s="7" t="n">
        <v>1.0</v>
      </c>
      <c r="F85" s="11" t="n">
        <v>3.73</v>
      </c>
      <c r="G85" s="7" t="inlineStr">
        <is>
          <t>KGM</t>
        </is>
      </c>
      <c r="H85" s="16" t="n">
        <f>UPPER(AX85)</f>
        <v>0.0</v>
      </c>
      <c r="I85" s="16" t="n">
        <f>UPPER(AY85)</f>
        <v>0.0</v>
      </c>
      <c r="J85" s="16" t="inlineStr">
        <is>
          <t>安达翔</t>
        </is>
      </c>
      <c r="K85" s="25" t="n">
        <f>UPPER(J85)</f>
        <v>0.0</v>
      </c>
      <c r="L85" s="25"/>
      <c r="M85" s="26" t="n">
        <f>AU85&amp;AV85&amp;AW85&amp;BD85</f>
        <v>0.0</v>
      </c>
      <c r="N85" s="27" t="n">
        <f>UPPER(M85)</f>
        <v>0.0</v>
      </c>
      <c r="O85" s="28" t="n">
        <f>MID(N85,MIN(IFERROR(FIND({0,1,2,3,4,5,6,7,8,9},N85),LEN(N85)+1)),LEN(N85))</f>
        <v>0.0</v>
      </c>
      <c r="P85" s="28" t="n">
        <f>L85&amp;" "&amp;O85</f>
        <v>0.0</v>
      </c>
      <c r="Q85" s="27" t="inlineStr">
        <is>
          <t>350-1317</t>
        </is>
      </c>
      <c r="R85" s="30" t="inlineStr">
        <is>
          <t>08059682833</t>
        </is>
      </c>
      <c r="S85" s="31" t="inlineStr">
        <is>
          <t xml:space="preserve">HUI ZHOU JING SHAN GONG MAO YOU XIAN GONG SI </t>
        </is>
      </c>
      <c r="T85" s="31" t="inlineStr">
        <is>
          <t>GUANG DONG SHENG HUI ZHOU SHI HUI CHENG QU QIAO DONG JIE DAO HUI ZHOU SHI HUI ZHOU DA DAO 108 HAO</t>
        </is>
      </c>
      <c r="U85" s="32" t="inlineStr">
        <is>
          <t>C&amp;F</t>
        </is>
      </c>
      <c r="V85" s="32" t="inlineStr">
        <is>
          <t>JPY</t>
        </is>
      </c>
      <c r="W85" s="33"/>
      <c r="X85" s="34" t="n">
        <f>INT(AZ85)</f>
        <v>0.0</v>
      </c>
      <c r="Y85" s="32" t="inlineStr">
        <is>
          <t>A</t>
        </is>
      </c>
      <c r="Z85" s="32" t="inlineStr">
        <is>
          <t>JPY</t>
        </is>
      </c>
      <c r="AA85" s="32"/>
      <c r="AB85" s="32" t="inlineStr">
        <is>
          <t>CN</t>
        </is>
      </c>
      <c r="AD85" s="27" t="inlineStr">
        <is>
          <t>安达翔</t>
        </is>
      </c>
      <c r="AE85" s="7" t="n">
        <f>AU85&amp;AV85&amp;AW85&amp;BD85</f>
        <v>0.0</v>
      </c>
      <c r="AF85" s="7" t="inlineStr">
        <is>
          <t>08059682833</t>
        </is>
      </c>
      <c r="AG85" s="7" t="inlineStr">
        <is>
          <t>350-1317</t>
        </is>
      </c>
      <c r="AH85" s="7"/>
      <c r="AI85" s="7" t="n">
        <f>BB85&amp;BC85&amp;BA85</f>
        <v>0.0</v>
      </c>
      <c r="AJ85" s="7" t="inlineStr">
        <is>
          <t xml:space="preserve"> </t>
        </is>
      </c>
      <c r="AK85" s="39" t="inlineStr">
        <is>
          <t>C</t>
        </is>
      </c>
      <c r="AL85" s="39" t="n">
        <v>1.0</v>
      </c>
      <c r="AM85" s="27" t="n">
        <f>IF(OR(ISNUMBER(SEARCH("amazon",AH85)),ISNUMBER(SEARCH("亚马逊",AH85))),"PUS001",IF(OR(ISNUMBER(SEARCH("rakuten",AH85)),ISNUMBER(SEARCH("楽天",AH85)),ISNUMBER(SEARCH("乐天",AH85))),"PJP001",IF(ISNUMBER(SEARCH("tik tok shop",AH85)),"PSG003",IF(ISNUMBER(SEARCH("temu",AH85)),"PSG001",IF(ISNUMBER(SEARCH("shein",AH85)),"JSG001",IF(OR(ISNUMBER(SEARCH("yahoo",AH85)),ISNUMBER(SEARCH("雅虎",AH85)),ISNUMBER(SEARCH("雅",AH85)),LEFT(UPPER(AH85),1)="Y"),"PJP005",IF(ISNUMBER(SEARCH("DDA JAPAN",AH85)),CHOOSE(RANDBETWEEN(1,3),"temu","PSG003","PSG001"),"JCNZZZ")))))))</f>
        <v>0.0</v>
      </c>
      <c r="AN85" s="7" t="n">
        <f>IF(ISNUMBER(SEARCH("JCNZZZ",AM85)),CHOOSE(RANDBETWEEN(1,4),"TAOBAO0","JinDdong","PingDduoDduo","ALIBABA"),"")</f>
        <v>0.0</v>
      </c>
      <c r="AU85" s="7"/>
      <c r="AV85" s="7"/>
      <c r="AW85" s="7" t="inlineStr">
        <is>
          <t>埼玉県狭山市大字水野５０７－１</t>
        </is>
      </c>
      <c r="AX85" s="7" t="inlineStr">
        <is>
          <t>plastic toys</t>
        </is>
      </c>
      <c r="AY85" s="7" t="inlineStr">
        <is>
          <t>ABS</t>
        </is>
      </c>
      <c r="AZ85" s="7" t="n">
        <v>12.8</v>
      </c>
      <c r="BA85" s="7" t="inlineStr">
        <is>
          <t xml:space="preserve"> </t>
        </is>
      </c>
      <c r="BB85" s="7"/>
      <c r="BC85" s="7"/>
      <c r="BD85" s="7"/>
    </row>
    <row r="86" customHeight="true" ht="33.0">
      <c r="A86" s="13" t="inlineStr">
        <is>
          <t>DIDA</t>
        </is>
      </c>
      <c r="B86" s="14"/>
      <c r="C86" s="15" t="inlineStr">
        <is>
          <t>365027469295</t>
        </is>
      </c>
      <c r="D86" s="15" t="inlineStr">
        <is>
          <t>365027469295</t>
        </is>
      </c>
      <c r="E86" s="7" t="n">
        <v>1.0</v>
      </c>
      <c r="F86" s="11" t="n">
        <v>0.71</v>
      </c>
      <c r="G86" s="7" t="inlineStr">
        <is>
          <t>KGM</t>
        </is>
      </c>
      <c r="H86" s="16" t="n">
        <f>UPPER(AX86)</f>
        <v>0.0</v>
      </c>
      <c r="I86" s="16" t="n">
        <f>UPPER(AY86)</f>
        <v>0.0</v>
      </c>
      <c r="J86" s="16" t="inlineStr">
        <is>
          <t>鉄山高</t>
        </is>
      </c>
      <c r="K86" s="25" t="n">
        <f>UPPER(J86)</f>
        <v>0.0</v>
      </c>
      <c r="L86" s="25"/>
      <c r="M86" s="26" t="n">
        <f>AU86&amp;AV86&amp;AW86&amp;BD86</f>
        <v>0.0</v>
      </c>
      <c r="N86" s="27" t="n">
        <f>UPPER(M86)</f>
        <v>0.0</v>
      </c>
      <c r="O86" s="28" t="n">
        <f>MID(N86,MIN(IFERROR(FIND({0,1,2,3,4,5,6,7,8,9},N86),LEN(N86)+1)),LEN(N86))</f>
        <v>0.0</v>
      </c>
      <c r="P86" s="28" t="n">
        <f>L86&amp;" "&amp;O86</f>
        <v>0.0</v>
      </c>
      <c r="Q86" s="27" t="inlineStr">
        <is>
          <t>879-3104</t>
        </is>
      </c>
      <c r="R86" s="30" t="inlineStr">
        <is>
          <t>080-5608-1968</t>
        </is>
      </c>
      <c r="S86" s="31" t="inlineStr">
        <is>
          <t xml:space="preserve">HUI ZHOU JING SHAN GONG MAO YOU XIAN GONG SI </t>
        </is>
      </c>
      <c r="T86" s="31" t="inlineStr">
        <is>
          <t>GUANG DONG SHENG HUI ZHOU SHI HUI CHENG QU QIAO DONG JIE DAO HUI ZHOU SHI HUI ZHOU DA DAO 108 HAO</t>
        </is>
      </c>
      <c r="U86" s="32" t="inlineStr">
        <is>
          <t>C&amp;F</t>
        </is>
      </c>
      <c r="V86" s="32" t="inlineStr">
        <is>
          <t>JPY</t>
        </is>
      </c>
      <c r="W86" s="33"/>
      <c r="X86" s="34" t="n">
        <f>INT(AZ86)</f>
        <v>0.0</v>
      </c>
      <c r="Y86" s="32" t="inlineStr">
        <is>
          <t>A</t>
        </is>
      </c>
      <c r="Z86" s="32" t="inlineStr">
        <is>
          <t>JPY</t>
        </is>
      </c>
      <c r="AA86" s="32"/>
      <c r="AB86" s="32" t="inlineStr">
        <is>
          <t>CN</t>
        </is>
      </c>
      <c r="AD86" s="27" t="inlineStr">
        <is>
          <t>鉄山高</t>
        </is>
      </c>
      <c r="AE86" s="7" t="n">
        <f>AU86&amp;AV86&amp;AW86&amp;BD86</f>
        <v>0.0</v>
      </c>
      <c r="AF86" s="7" t="inlineStr">
        <is>
          <t>080-5608-1968</t>
        </is>
      </c>
      <c r="AG86" s="7" t="inlineStr">
        <is>
          <t>879-3104</t>
        </is>
      </c>
      <c r="AH86" s="7"/>
      <c r="AI86" s="7" t="n">
        <f>BB86&amp;BC86&amp;BA86</f>
        <v>0.0</v>
      </c>
      <c r="AJ86" s="7" t="inlineStr">
        <is>
          <t xml:space="preserve"> </t>
        </is>
      </c>
      <c r="AK86" s="39" t="inlineStr">
        <is>
          <t>C</t>
        </is>
      </c>
      <c r="AL86" s="39" t="n">
        <v>1.0</v>
      </c>
      <c r="AM86" s="27" t="n">
        <f>IF(OR(ISNUMBER(SEARCH("amazon",AH86)),ISNUMBER(SEARCH("亚马逊",AH86))),"PUS001",IF(OR(ISNUMBER(SEARCH("rakuten",AH86)),ISNUMBER(SEARCH("楽天",AH86)),ISNUMBER(SEARCH("乐天",AH86))),"PJP001",IF(ISNUMBER(SEARCH("tik tok shop",AH86)),"PSG003",IF(ISNUMBER(SEARCH("temu",AH86)),"PSG001",IF(ISNUMBER(SEARCH("shein",AH86)),"JSG001",IF(OR(ISNUMBER(SEARCH("yahoo",AH86)),ISNUMBER(SEARCH("雅虎",AH86)),ISNUMBER(SEARCH("雅",AH86)),LEFT(UPPER(AH86),1)="Y"),"PJP005",IF(ISNUMBER(SEARCH("DDA JAPAN",AH86)),CHOOSE(RANDBETWEEN(1,3),"temu","PSG003","PSG001"),"JCNZZZ")))))))</f>
        <v>0.0</v>
      </c>
      <c r="AN86" s="7" t="n">
        <f>IF(ISNUMBER(SEARCH("JCNZZZ",AM86)),CHOOSE(RANDBETWEEN(1,4),"TAOBAO0","JinDdong","PingDduoDduo","ALIBABA"),"")</f>
        <v>0.0</v>
      </c>
      <c r="AU86" s="7"/>
      <c r="AV86" s="7"/>
      <c r="AW86" s="7" t="inlineStr">
        <is>
          <t>大分県佐伯市直川仁田原７９８番地-1</t>
        </is>
      </c>
      <c r="AX86" s="7" t="inlineStr">
        <is>
          <t>dashcam</t>
        </is>
      </c>
      <c r="AY86" s="7" t="inlineStr">
        <is>
          <t>ABS</t>
        </is>
      </c>
      <c r="AZ86" s="7" t="n">
        <v>10.0</v>
      </c>
      <c r="BA86" s="7" t="inlineStr">
        <is>
          <t xml:space="preserve"> </t>
        </is>
      </c>
      <c r="BB86" s="7"/>
      <c r="BC86" s="7"/>
      <c r="BD86" s="7"/>
    </row>
    <row r="87" customHeight="true" ht="33.0">
      <c r="A87" s="13" t="inlineStr">
        <is>
          <t>DIDA</t>
        </is>
      </c>
      <c r="B87" s="14"/>
      <c r="C87" s="15" t="inlineStr">
        <is>
          <t>365027470625</t>
        </is>
      </c>
      <c r="D87" s="15" t="inlineStr">
        <is>
          <t>365027470625</t>
        </is>
      </c>
      <c r="E87" s="7" t="n">
        <v>1.0</v>
      </c>
      <c r="F87" s="11" t="n">
        <v>1.08</v>
      </c>
      <c r="G87" s="7" t="inlineStr">
        <is>
          <t>KGM</t>
        </is>
      </c>
      <c r="H87" s="16" t="n">
        <f>UPPER(AX87)</f>
        <v>0.0</v>
      </c>
      <c r="I87" s="16" t="n">
        <f>UPPER(AY87)</f>
        <v>0.0</v>
      </c>
      <c r="J87" s="16" t="inlineStr">
        <is>
          <t>FUKUNAGA KATSUSHIKA</t>
        </is>
      </c>
      <c r="K87" s="25" t="n">
        <f>UPPER(J87)</f>
        <v>0.0</v>
      </c>
      <c r="L87" s="25"/>
      <c r="M87" s="26" t="n">
        <f>AU87&amp;AV87&amp;AW87&amp;BD87</f>
        <v>0.0</v>
      </c>
      <c r="N87" s="27" t="n">
        <f>UPPER(M87)</f>
        <v>0.0</v>
      </c>
      <c r="O87" s="28" t="n">
        <f>MID(N87,MIN(IFERROR(FIND({0,1,2,3,4,5,6,7,8,9},N87),LEN(N87)+1)),LEN(N87))</f>
        <v>0.0</v>
      </c>
      <c r="P87" s="28" t="n">
        <f>L87&amp;" "&amp;O87</f>
        <v>0.0</v>
      </c>
      <c r="Q87" s="27" t="inlineStr">
        <is>
          <t>134-0092</t>
        </is>
      </c>
      <c r="R87" s="30" t="inlineStr">
        <is>
          <t>03-3877-5550</t>
        </is>
      </c>
      <c r="S87" s="31" t="inlineStr">
        <is>
          <t xml:space="preserve">HUI ZHOU JING SHAN GONG MAO YOU XIAN GONG SI </t>
        </is>
      </c>
      <c r="T87" s="31" t="inlineStr">
        <is>
          <t>GUANG DONG SHENG HUI ZHOU SHI HUI CHENG QU QIAO DONG JIE DAO HUI ZHOU SHI HUI ZHOU DA DAO 108 HAO</t>
        </is>
      </c>
      <c r="U87" s="32" t="inlineStr">
        <is>
          <t>C&amp;F</t>
        </is>
      </c>
      <c r="V87" s="32" t="inlineStr">
        <is>
          <t>JPY</t>
        </is>
      </c>
      <c r="W87" s="33"/>
      <c r="X87" s="34" t="n">
        <f>INT(AZ87)</f>
        <v>0.0</v>
      </c>
      <c r="Y87" s="32" t="inlineStr">
        <is>
          <t>A</t>
        </is>
      </c>
      <c r="Z87" s="32" t="inlineStr">
        <is>
          <t>JPY</t>
        </is>
      </c>
      <c r="AA87" s="32"/>
      <c r="AB87" s="32" t="inlineStr">
        <is>
          <t>CN</t>
        </is>
      </c>
      <c r="AD87" s="27" t="inlineStr">
        <is>
          <t>FUKUNAGA KATSUSHIKA</t>
        </is>
      </c>
      <c r="AE87" s="7" t="n">
        <f>AU87&amp;AV87&amp;AW87&amp;BD87</f>
        <v>0.0</v>
      </c>
      <c r="AF87" s="7" t="inlineStr">
        <is>
          <t>03-3877-5550</t>
        </is>
      </c>
      <c r="AG87" s="7" t="inlineStr">
        <is>
          <t>134-0092</t>
        </is>
      </c>
      <c r="AH87" s="7"/>
      <c r="AI87" s="7" t="n">
        <f>BB87&amp;BC87&amp;BA87</f>
        <v>0.0</v>
      </c>
      <c r="AJ87" s="7" t="inlineStr">
        <is>
          <t xml:space="preserve"> </t>
        </is>
      </c>
      <c r="AK87" s="39" t="inlineStr">
        <is>
          <t>C</t>
        </is>
      </c>
      <c r="AL87" s="39" t="n">
        <v>1.0</v>
      </c>
      <c r="AM87" s="27" t="n">
        <f>IF(OR(ISNUMBER(SEARCH("amazon",AH87)),ISNUMBER(SEARCH("亚马逊",AH87))),"PUS001",IF(OR(ISNUMBER(SEARCH("rakuten",AH87)),ISNUMBER(SEARCH("楽天",AH87)),ISNUMBER(SEARCH("乐天",AH87))),"PJP001",IF(ISNUMBER(SEARCH("tik tok shop",AH87)),"PSG003",IF(ISNUMBER(SEARCH("temu",AH87)),"PSG001",IF(ISNUMBER(SEARCH("shein",AH87)),"JSG001",IF(OR(ISNUMBER(SEARCH("yahoo",AH87)),ISNUMBER(SEARCH("雅虎",AH87)),ISNUMBER(SEARCH("雅",AH87)),LEFT(UPPER(AH87),1)="Y"),"PJP005",IF(ISNUMBER(SEARCH("DDA JAPAN",AH87)),CHOOSE(RANDBETWEEN(1,3),"temu","PSG003","PSG001"),"JCNZZZ")))))))</f>
        <v>0.0</v>
      </c>
      <c r="AN87" s="7" t="n">
        <f>IF(ISNUMBER(SEARCH("JCNZZZ",AM87)),CHOOSE(RANDBETWEEN(1,4),"TAOBAO0","JinDdong","PingDduoDduo","ALIBABA"),"")</f>
        <v>0.0</v>
      </c>
      <c r="AU87" s="7"/>
      <c r="AV87" s="7"/>
      <c r="AW87" s="7" t="inlineStr">
        <is>
          <t>NO.3000 ICHINOECHO EDOGAWA-KU TOKYO</t>
        </is>
      </c>
      <c r="AX87" s="7" t="inlineStr">
        <is>
          <t>Humidifier</t>
        </is>
      </c>
      <c r="AY87" s="7" t="inlineStr">
        <is>
          <t>ABS</t>
        </is>
      </c>
      <c r="AZ87" s="7" t="n">
        <v>16.8</v>
      </c>
      <c r="BA87" s="7" t="inlineStr">
        <is>
          <t xml:space="preserve"> </t>
        </is>
      </c>
      <c r="BB87" s="7"/>
      <c r="BC87" s="7"/>
      <c r="BD87" s="7"/>
    </row>
    <row r="88" customHeight="true" ht="33.0">
      <c r="A88" s="13" t="inlineStr">
        <is>
          <t>DIDA</t>
        </is>
      </c>
      <c r="B88" s="14"/>
      <c r="C88" s="15" t="inlineStr">
        <is>
          <t>365027492922</t>
        </is>
      </c>
      <c r="D88" s="15" t="inlineStr">
        <is>
          <t>365027492922</t>
        </is>
      </c>
      <c r="E88" s="7" t="n">
        <v>1.0</v>
      </c>
      <c r="F88" s="11" t="n">
        <v>0.16</v>
      </c>
      <c r="G88" s="7" t="inlineStr">
        <is>
          <t>KGM</t>
        </is>
      </c>
      <c r="H88" s="16" t="n">
        <f>UPPER(AX88)</f>
        <v>0.0</v>
      </c>
      <c r="I88" s="16" t="n">
        <f>UPPER(AY88)</f>
        <v>0.0</v>
      </c>
      <c r="J88" s="16" t="inlineStr">
        <is>
          <t>樽井 大輔</t>
        </is>
      </c>
      <c r="K88" s="25" t="n">
        <f>UPPER(J88)</f>
        <v>0.0</v>
      </c>
      <c r="L88" s="25"/>
      <c r="M88" s="26" t="n">
        <f>AU88&amp;AV88&amp;AW88&amp;BD88</f>
        <v>0.0</v>
      </c>
      <c r="N88" s="27" t="n">
        <f>UPPER(M88)</f>
        <v>0.0</v>
      </c>
      <c r="O88" s="28" t="n">
        <f>MID(N88,MIN(IFERROR(FIND({0,1,2,3,4,5,6,7,8,9},N88),LEN(N88)+1)),LEN(N88))</f>
        <v>0.0</v>
      </c>
      <c r="P88" s="28" t="n">
        <f>L88&amp;" "&amp;O88</f>
        <v>0.0</v>
      </c>
      <c r="Q88" s="27" t="inlineStr">
        <is>
          <t>676-0011</t>
        </is>
      </c>
      <c r="R88" s="30" t="inlineStr">
        <is>
          <t>080-3767-2140</t>
        </is>
      </c>
      <c r="S88" s="31" t="inlineStr">
        <is>
          <t xml:space="preserve">HUI ZHOU JING SHAN GONG MAO YOU XIAN GONG SI </t>
        </is>
      </c>
      <c r="T88" s="31" t="inlineStr">
        <is>
          <t>GUANG DONG SHENG HUI ZHOU SHI HUI CHENG QU QIAO DONG JIE DAO HUI ZHOU SHI HUI ZHOU DA DAO 108 HAO</t>
        </is>
      </c>
      <c r="U88" s="32" t="inlineStr">
        <is>
          <t>C&amp;F</t>
        </is>
      </c>
      <c r="V88" s="32" t="inlineStr">
        <is>
          <t>JPY</t>
        </is>
      </c>
      <c r="W88" s="33"/>
      <c r="X88" s="34" t="n">
        <f>INT(AZ88)</f>
        <v>0.0</v>
      </c>
      <c r="Y88" s="32" t="inlineStr">
        <is>
          <t>A</t>
        </is>
      </c>
      <c r="Z88" s="32" t="inlineStr">
        <is>
          <t>JPY</t>
        </is>
      </c>
      <c r="AA88" s="32"/>
      <c r="AB88" s="32" t="inlineStr">
        <is>
          <t>CN</t>
        </is>
      </c>
      <c r="AD88" s="27" t="inlineStr">
        <is>
          <t>樽井 大輔</t>
        </is>
      </c>
      <c r="AE88" s="7" t="n">
        <f>AU88&amp;AV88&amp;AW88&amp;BD88</f>
        <v>0.0</v>
      </c>
      <c r="AF88" s="7" t="inlineStr">
        <is>
          <t>080-3767-2140</t>
        </is>
      </c>
      <c r="AG88" s="7" t="inlineStr">
        <is>
          <t>676-0011</t>
        </is>
      </c>
      <c r="AH88" s="7" t="inlineStr">
        <is>
          <t>ラッキーストライク</t>
        </is>
      </c>
      <c r="AI88" s="7" t="n">
        <f>BB88&amp;BC88&amp;BA88</f>
        <v>0.0</v>
      </c>
      <c r="AJ88" s="7" t="inlineStr">
        <is>
          <t xml:space="preserve"> 05030911547</t>
        </is>
      </c>
      <c r="AK88" s="39" t="inlineStr">
        <is>
          <t>C</t>
        </is>
      </c>
      <c r="AL88" s="39" t="n">
        <v>1.0</v>
      </c>
      <c r="AM88" s="27" t="n">
        <f>IF(OR(ISNUMBER(SEARCH("amazon",AH88)),ISNUMBER(SEARCH("亚马逊",AH88))),"PUS001",IF(OR(ISNUMBER(SEARCH("rakuten",AH88)),ISNUMBER(SEARCH("楽天",AH88)),ISNUMBER(SEARCH("乐天",AH88))),"PJP001",IF(ISNUMBER(SEARCH("tik tok shop",AH88)),"PSG003",IF(ISNUMBER(SEARCH("temu",AH88)),"PSG001",IF(ISNUMBER(SEARCH("shein",AH88)),"JSG001",IF(OR(ISNUMBER(SEARCH("yahoo",AH88)),ISNUMBER(SEARCH("雅虎",AH88)),ISNUMBER(SEARCH("雅",AH88)),LEFT(UPPER(AH88),1)="Y"),"PJP005",IF(ISNUMBER(SEARCH("DDA JAPAN",AH88)),CHOOSE(RANDBETWEEN(1,3),"temu","PSG003","PSG001"),"JCNZZZ")))))))</f>
        <v>0.0</v>
      </c>
      <c r="AN88" s="7" t="n">
        <f>IF(ISNUMBER(SEARCH("JCNZZZ",AM88)),CHOOSE(RANDBETWEEN(1,4),"TAOBAO0","JinDdong","PingDduoDduo","ALIBABA"),"")</f>
        <v>0.0</v>
      </c>
      <c r="AU88" s="7" t="inlineStr">
        <is>
          <t>兵庫県</t>
        </is>
      </c>
      <c r="AV88" s="7" t="inlineStr">
        <is>
          <t>高砂市</t>
        </is>
      </c>
      <c r="AW88" s="7" t="inlineStr">
        <is>
          <t>荒井町小松原3丁目1ー3ー202 オリエンタルマンションI</t>
        </is>
      </c>
      <c r="AX88" s="7" t="inlineStr">
        <is>
          <t>ashtray</t>
        </is>
      </c>
      <c r="AY88" s="7" t="inlineStr">
        <is>
          <t>Metal</t>
        </is>
      </c>
      <c r="AZ88" s="7" t="n">
        <v>14.0</v>
      </c>
      <c r="BA88" s="7" t="inlineStr">
        <is>
          <t xml:space="preserve"> 東京都西多摩郡奥多摩町留浦１０１８</t>
        </is>
      </c>
      <c r="BB88" s="7"/>
      <c r="BC88" s="7"/>
      <c r="BD88" s="7"/>
    </row>
    <row r="89" customHeight="true" ht="33.0">
      <c r="A89" s="13" t="inlineStr">
        <is>
          <t>DIDA</t>
        </is>
      </c>
      <c r="B89" s="14"/>
      <c r="C89" s="15" t="inlineStr">
        <is>
          <t>365027493353</t>
        </is>
      </c>
      <c r="D89" s="15" t="inlineStr">
        <is>
          <t>365027493353</t>
        </is>
      </c>
      <c r="E89" s="7" t="n">
        <v>1.0</v>
      </c>
      <c r="F89" s="11" t="n">
        <v>0.42</v>
      </c>
      <c r="G89" s="7" t="inlineStr">
        <is>
          <t>KGM</t>
        </is>
      </c>
      <c r="H89" s="16" t="n">
        <f>UPPER(AX89)</f>
        <v>0.0</v>
      </c>
      <c r="I89" s="16" t="n">
        <f>UPPER(AY89)</f>
        <v>0.0</v>
      </c>
      <c r="J89" s="16" t="inlineStr">
        <is>
          <t>向井 公幸</t>
        </is>
      </c>
      <c r="K89" s="25" t="n">
        <f>UPPER(J89)</f>
        <v>0.0</v>
      </c>
      <c r="L89" s="25"/>
      <c r="M89" s="26" t="n">
        <f>AU89&amp;AV89&amp;AW89&amp;BD89</f>
        <v>0.0</v>
      </c>
      <c r="N89" s="27" t="n">
        <f>UPPER(M89)</f>
        <v>0.0</v>
      </c>
      <c r="O89" s="28" t="n">
        <f>MID(N89,MIN(IFERROR(FIND({0,1,2,3,4,5,6,7,8,9},N89),LEN(N89)+1)),LEN(N89))</f>
        <v>0.0</v>
      </c>
      <c r="P89" s="28" t="n">
        <f>L89&amp;" "&amp;O89</f>
        <v>0.0</v>
      </c>
      <c r="Q89" s="27" t="inlineStr">
        <is>
          <t>879-5102</t>
        </is>
      </c>
      <c r="R89" s="30" t="inlineStr">
        <is>
          <t>090-8663-5992</t>
        </is>
      </c>
      <c r="S89" s="31" t="inlineStr">
        <is>
          <t xml:space="preserve">HUI ZHOU JING SHAN GONG MAO YOU XIAN GONG SI </t>
        </is>
      </c>
      <c r="T89" s="31" t="inlineStr">
        <is>
          <t>GUANG DONG SHENG HUI ZHOU SHI HUI CHENG QU QIAO DONG JIE DAO HUI ZHOU SHI HUI ZHOU DA DAO 108 HAO</t>
        </is>
      </c>
      <c r="U89" s="32" t="inlineStr">
        <is>
          <t>C&amp;F</t>
        </is>
      </c>
      <c r="V89" s="32" t="inlineStr">
        <is>
          <t>JPY</t>
        </is>
      </c>
      <c r="W89" s="33"/>
      <c r="X89" s="34" t="n">
        <f>INT(AZ89)</f>
        <v>0.0</v>
      </c>
      <c r="Y89" s="32" t="inlineStr">
        <is>
          <t>A</t>
        </is>
      </c>
      <c r="Z89" s="32" t="inlineStr">
        <is>
          <t>JPY</t>
        </is>
      </c>
      <c r="AA89" s="32"/>
      <c r="AB89" s="32" t="inlineStr">
        <is>
          <t>CN</t>
        </is>
      </c>
      <c r="AD89" s="27" t="inlineStr">
        <is>
          <t>向井 公幸</t>
        </is>
      </c>
      <c r="AE89" s="7" t="n">
        <f>AU89&amp;AV89&amp;AW89&amp;BD89</f>
        <v>0.0</v>
      </c>
      <c r="AF89" s="7" t="inlineStr">
        <is>
          <t>090-8663-5992</t>
        </is>
      </c>
      <c r="AG89" s="7" t="inlineStr">
        <is>
          <t>879-5102</t>
        </is>
      </c>
      <c r="AH89" s="7" t="inlineStr">
        <is>
          <t>5 star trust</t>
        </is>
      </c>
      <c r="AI89" s="7" t="n">
        <f>BB89&amp;BC89&amp;BA89</f>
        <v>0.0</v>
      </c>
      <c r="AJ89" s="7" t="inlineStr">
        <is>
          <t xml:space="preserve"> 0672209304</t>
        </is>
      </c>
      <c r="AK89" s="39" t="inlineStr">
        <is>
          <t>C</t>
        </is>
      </c>
      <c r="AL89" s="39" t="n">
        <v>1.0</v>
      </c>
      <c r="AM89" s="27" t="n">
        <f>IF(OR(ISNUMBER(SEARCH("amazon",AH89)),ISNUMBER(SEARCH("亚马逊",AH89))),"PUS001",IF(OR(ISNUMBER(SEARCH("rakuten",AH89)),ISNUMBER(SEARCH("楽天",AH89)),ISNUMBER(SEARCH("乐天",AH89))),"PJP001",IF(ISNUMBER(SEARCH("tik tok shop",AH89)),"PSG003",IF(ISNUMBER(SEARCH("temu",AH89)),"PSG001",IF(ISNUMBER(SEARCH("shein",AH89)),"JSG001",IF(OR(ISNUMBER(SEARCH("yahoo",AH89)),ISNUMBER(SEARCH("雅虎",AH89)),ISNUMBER(SEARCH("雅",AH89)),LEFT(UPPER(AH89),1)="Y"),"PJP005",IF(ISNUMBER(SEARCH("DDA JAPAN",AH89)),CHOOSE(RANDBETWEEN(1,3),"temu","PSG003","PSG001"),"JCNZZZ")))))))</f>
        <v>0.0</v>
      </c>
      <c r="AN89" s="7" t="n">
        <f>IF(ISNUMBER(SEARCH("JCNZZZ",AM89)),CHOOSE(RANDBETWEEN(1,4),"TAOBAO0","JinDdong","PingDduoDduo","ALIBABA"),"")</f>
        <v>0.0</v>
      </c>
      <c r="AU89" s="7" t="inlineStr">
        <is>
          <t>大分県</t>
        </is>
      </c>
      <c r="AV89" s="7" t="inlineStr">
        <is>
          <t>由布市</t>
        </is>
      </c>
      <c r="AW89" s="7" t="inlineStr">
        <is>
          <t>湯布院町川上331-10</t>
        </is>
      </c>
      <c r="AX89" s="7" t="inlineStr">
        <is>
          <t>Children's educational toys</t>
        </is>
      </c>
      <c r="AY89" s="7" t="inlineStr">
        <is>
          <t>plastic</t>
        </is>
      </c>
      <c r="AZ89" s="7" t="n">
        <v>11.0</v>
      </c>
      <c r="BA89" s="7" t="inlineStr">
        <is>
          <t xml:space="preserve"> 大阪府富田林市平町１－４１０３－１</t>
        </is>
      </c>
      <c r="BB89" s="7"/>
      <c r="BC89" s="7"/>
      <c r="BD89" s="7"/>
    </row>
    <row r="90" customHeight="true" ht="33.0">
      <c r="A90" s="13" t="inlineStr">
        <is>
          <t>DIDA</t>
        </is>
      </c>
      <c r="B90" s="14"/>
      <c r="C90" s="15" t="inlineStr">
        <is>
          <t>365027493692</t>
        </is>
      </c>
      <c r="D90" s="15" t="inlineStr">
        <is>
          <t>365027493692</t>
        </is>
      </c>
      <c r="E90" s="7" t="n">
        <v>1.0</v>
      </c>
      <c r="F90" s="11" t="n">
        <v>0.58</v>
      </c>
      <c r="G90" s="7" t="inlineStr">
        <is>
          <t>KGM</t>
        </is>
      </c>
      <c r="H90" s="16" t="n">
        <f>UPPER(AX90)</f>
        <v>0.0</v>
      </c>
      <c r="I90" s="16" t="n">
        <f>UPPER(AY90)</f>
        <v>0.0</v>
      </c>
      <c r="J90" s="16" t="inlineStr">
        <is>
          <t>米山 智子 [ヨネヤマ トモコ]</t>
        </is>
      </c>
      <c r="K90" s="25" t="n">
        <f>UPPER(J90)</f>
        <v>0.0</v>
      </c>
      <c r="L90" s="25"/>
      <c r="M90" s="26" t="n">
        <f>AU90&amp;AV90&amp;AW90&amp;BD90</f>
        <v>0.0</v>
      </c>
      <c r="N90" s="27" t="n">
        <f>UPPER(M90)</f>
        <v>0.0</v>
      </c>
      <c r="O90" s="28" t="n">
        <f>MID(N90,MIN(IFERROR(FIND({0,1,2,3,4,5,6,7,8,9},N90),LEN(N90)+1)),LEN(N90))</f>
        <v>0.0</v>
      </c>
      <c r="P90" s="28" t="n">
        <f>L90&amp;" "&amp;O90</f>
        <v>0.0</v>
      </c>
      <c r="Q90" s="27" t="inlineStr">
        <is>
          <t>380-0941</t>
        </is>
      </c>
      <c r="R90" s="30" t="inlineStr">
        <is>
          <t>090-1611-6989</t>
        </is>
      </c>
      <c r="S90" s="31" t="inlineStr">
        <is>
          <t xml:space="preserve">HUI ZHOU JING SHAN GONG MAO YOU XIAN GONG SI </t>
        </is>
      </c>
      <c r="T90" s="31" t="inlineStr">
        <is>
          <t>GUANG DONG SHENG HUI ZHOU SHI HUI CHENG QU QIAO DONG JIE DAO HUI ZHOU SHI HUI ZHOU DA DAO 108 HAO</t>
        </is>
      </c>
      <c r="U90" s="32" t="inlineStr">
        <is>
          <t>C&amp;F</t>
        </is>
      </c>
      <c r="V90" s="32" t="inlineStr">
        <is>
          <t>JPY</t>
        </is>
      </c>
      <c r="W90" s="33"/>
      <c r="X90" s="34" t="n">
        <f>INT(AZ90)</f>
        <v>0.0</v>
      </c>
      <c r="Y90" s="32" t="inlineStr">
        <is>
          <t>A</t>
        </is>
      </c>
      <c r="Z90" s="32" t="inlineStr">
        <is>
          <t>JPY</t>
        </is>
      </c>
      <c r="AA90" s="32"/>
      <c r="AB90" s="32" t="inlineStr">
        <is>
          <t>CN</t>
        </is>
      </c>
      <c r="AD90" s="27" t="inlineStr">
        <is>
          <t>米山 智子 [ヨネヤマ トモコ]</t>
        </is>
      </c>
      <c r="AE90" s="7" t="n">
        <f>AU90&amp;AV90&amp;AW90&amp;BD90</f>
        <v>0.0</v>
      </c>
      <c r="AF90" s="7" t="inlineStr">
        <is>
          <t>090-1611-6989</t>
        </is>
      </c>
      <c r="AG90" s="7" t="inlineStr">
        <is>
          <t>380-0941</t>
        </is>
      </c>
      <c r="AH90" s="7" t="inlineStr">
        <is>
          <t>楽天-OBSESSION-L</t>
        </is>
      </c>
      <c r="AI90" s="7" t="n">
        <f>BB90&amp;BC90&amp;BA90</f>
        <v>0.0</v>
      </c>
      <c r="AJ90" s="7" t="inlineStr">
        <is>
          <t xml:space="preserve"> 05036359867</t>
        </is>
      </c>
      <c r="AK90" s="39" t="inlineStr">
        <is>
          <t>C</t>
        </is>
      </c>
      <c r="AL90" s="39" t="n">
        <v>1.0</v>
      </c>
      <c r="AM90" s="27" t="n">
        <f>IF(OR(ISNUMBER(SEARCH("amazon",AH90)),ISNUMBER(SEARCH("亚马逊",AH90))),"PUS001",IF(OR(ISNUMBER(SEARCH("rakuten",AH90)),ISNUMBER(SEARCH("楽天",AH90)),ISNUMBER(SEARCH("乐天",AH90))),"PJP001",IF(ISNUMBER(SEARCH("tik tok shop",AH90)),"PSG003",IF(ISNUMBER(SEARCH("temu",AH90)),"PSG001",IF(ISNUMBER(SEARCH("shein",AH90)),"JSG001",IF(OR(ISNUMBER(SEARCH("yahoo",AH90)),ISNUMBER(SEARCH("雅虎",AH90)),ISNUMBER(SEARCH("雅",AH90)),LEFT(UPPER(AH90),1)="Y"),"PJP005",IF(ISNUMBER(SEARCH("DDA JAPAN",AH90)),CHOOSE(RANDBETWEEN(1,3),"temu","PSG003","PSG001"),"JCNZZZ")))))))</f>
        <v>0.0</v>
      </c>
      <c r="AN90" s="7" t="n">
        <f>IF(ISNUMBER(SEARCH("JCNZZZ",AM90)),CHOOSE(RANDBETWEEN(1,4),"TAOBAO0","JinDdong","PingDduoDduo","ALIBABA"),"")</f>
        <v>0.0</v>
      </c>
      <c r="AU90" s="7" t="inlineStr">
        <is>
          <t>長野県</t>
        </is>
      </c>
      <c r="AV90" s="7" t="inlineStr">
        <is>
          <t>長野市</t>
        </is>
      </c>
      <c r="AW90" s="7" t="inlineStr">
        <is>
          <t>安茂里1728-2</t>
        </is>
      </c>
      <c r="AX90" s="7" t="inlineStr">
        <is>
          <t>Fan</t>
        </is>
      </c>
      <c r="AY90" s="7" t="inlineStr">
        <is>
          <t>ABS</t>
        </is>
      </c>
      <c r="AZ90" s="7" t="n">
        <v>15.0</v>
      </c>
      <c r="BA90" s="7" t="inlineStr">
        <is>
          <t xml:space="preserve"> 西成区北津守４－１３－４３</t>
        </is>
      </c>
      <c r="BB90" s="7"/>
      <c r="BC90" s="7"/>
      <c r="BD90" s="7"/>
    </row>
    <row r="91" customHeight="true" ht="33.0">
      <c r="A91" s="13" t="inlineStr">
        <is>
          <t>DIDA</t>
        </is>
      </c>
      <c r="B91" s="14"/>
      <c r="C91" s="15" t="inlineStr">
        <is>
          <t>365027493036</t>
        </is>
      </c>
      <c r="D91" s="15" t="inlineStr">
        <is>
          <t>365027493036</t>
        </is>
      </c>
      <c r="E91" s="7" t="n">
        <v>1.0</v>
      </c>
      <c r="F91" s="11" t="n">
        <v>0.58</v>
      </c>
      <c r="G91" s="7" t="inlineStr">
        <is>
          <t>KGM</t>
        </is>
      </c>
      <c r="H91" s="16" t="n">
        <f>UPPER(AX91)</f>
        <v>0.0</v>
      </c>
      <c r="I91" s="16" t="n">
        <f>UPPER(AY91)</f>
        <v>0.0</v>
      </c>
      <c r="J91" s="16" t="inlineStr">
        <is>
          <t>山田 美代子 [ヤマダ ミヨコ]</t>
        </is>
      </c>
      <c r="K91" s="25" t="n">
        <f>UPPER(J91)</f>
        <v>0.0</v>
      </c>
      <c r="L91" s="25"/>
      <c r="M91" s="26" t="n">
        <f>AU91&amp;AV91&amp;AW91&amp;BD91</f>
        <v>0.0</v>
      </c>
      <c r="N91" s="27" t="n">
        <f>UPPER(M91)</f>
        <v>0.0</v>
      </c>
      <c r="O91" s="28" t="n">
        <f>MID(N91,MIN(IFERROR(FIND({0,1,2,3,4,5,6,7,8,9},N91),LEN(N91)+1)),LEN(N91))</f>
        <v>0.0</v>
      </c>
      <c r="P91" s="28" t="n">
        <f>L91&amp;" "&amp;O91</f>
        <v>0.0</v>
      </c>
      <c r="Q91" s="27" t="inlineStr">
        <is>
          <t>753-0851</t>
        </is>
      </c>
      <c r="R91" s="30" t="inlineStr">
        <is>
          <t>090-9737-8286</t>
        </is>
      </c>
      <c r="S91" s="31" t="inlineStr">
        <is>
          <t xml:space="preserve">HUI ZHOU JING SHAN GONG MAO YOU XIAN GONG SI </t>
        </is>
      </c>
      <c r="T91" s="31" t="inlineStr">
        <is>
          <t>GUANG DONG SHENG HUI ZHOU SHI HUI CHENG QU QIAO DONG JIE DAO HUI ZHOU SHI HUI ZHOU DA DAO 108 HAO</t>
        </is>
      </c>
      <c r="U91" s="32" t="inlineStr">
        <is>
          <t>C&amp;F</t>
        </is>
      </c>
      <c r="V91" s="32" t="inlineStr">
        <is>
          <t>JPY</t>
        </is>
      </c>
      <c r="W91" s="33"/>
      <c r="X91" s="34" t="n">
        <f>INT(AZ91)</f>
        <v>0.0</v>
      </c>
      <c r="Y91" s="32" t="inlineStr">
        <is>
          <t>A</t>
        </is>
      </c>
      <c r="Z91" s="32" t="inlineStr">
        <is>
          <t>JPY</t>
        </is>
      </c>
      <c r="AA91" s="32"/>
      <c r="AB91" s="32" t="inlineStr">
        <is>
          <t>CN</t>
        </is>
      </c>
      <c r="AD91" s="27" t="inlineStr">
        <is>
          <t>山田 美代子 [ヤマダ ミヨコ]</t>
        </is>
      </c>
      <c r="AE91" s="7" t="n">
        <f>AU91&amp;AV91&amp;AW91&amp;BD91</f>
        <v>0.0</v>
      </c>
      <c r="AF91" s="7" t="inlineStr">
        <is>
          <t>090-9737-8286</t>
        </is>
      </c>
      <c r="AG91" s="7" t="inlineStr">
        <is>
          <t>753-0851</t>
        </is>
      </c>
      <c r="AH91" s="7" t="inlineStr">
        <is>
          <t>楽天-OBSESSION-L</t>
        </is>
      </c>
      <c r="AI91" s="7" t="n">
        <f>BB91&amp;BC91&amp;BA91</f>
        <v>0.0</v>
      </c>
      <c r="AJ91" s="7" t="inlineStr">
        <is>
          <t xml:space="preserve"> 05036359867</t>
        </is>
      </c>
      <c r="AK91" s="39" t="inlineStr">
        <is>
          <t>C</t>
        </is>
      </c>
      <c r="AL91" s="39" t="n">
        <v>1.0</v>
      </c>
      <c r="AM91" s="27" t="n">
        <f>IF(OR(ISNUMBER(SEARCH("amazon",AH91)),ISNUMBER(SEARCH("亚马逊",AH91))),"PUS001",IF(OR(ISNUMBER(SEARCH("rakuten",AH91)),ISNUMBER(SEARCH("楽天",AH91)),ISNUMBER(SEARCH("乐天",AH91))),"PJP001",IF(ISNUMBER(SEARCH("tik tok shop",AH91)),"PSG003",IF(ISNUMBER(SEARCH("temu",AH91)),"PSG001",IF(ISNUMBER(SEARCH("shein",AH91)),"JSG001",IF(OR(ISNUMBER(SEARCH("yahoo",AH91)),ISNUMBER(SEARCH("雅虎",AH91)),ISNUMBER(SEARCH("雅",AH91)),LEFT(UPPER(AH91),1)="Y"),"PJP005",IF(ISNUMBER(SEARCH("DDA JAPAN",AH91)),CHOOSE(RANDBETWEEN(1,3),"temu","PSG003","PSG001"),"JCNZZZ")))))))</f>
        <v>0.0</v>
      </c>
      <c r="AN91" s="7" t="n">
        <f>IF(ISNUMBER(SEARCH("JCNZZZ",AM91)),CHOOSE(RANDBETWEEN(1,4),"TAOBAO0","JinDdong","PingDduoDduo","ALIBABA"),"")</f>
        <v>0.0</v>
      </c>
      <c r="AU91" s="7" t="inlineStr">
        <is>
          <t>山口県</t>
        </is>
      </c>
      <c r="AV91" s="7" t="inlineStr">
        <is>
          <t>山口市</t>
        </is>
      </c>
      <c r="AW91" s="7" t="inlineStr">
        <is>
          <t>黒川642-15</t>
        </is>
      </c>
      <c r="AX91" s="7" t="inlineStr">
        <is>
          <t>Fan</t>
        </is>
      </c>
      <c r="AY91" s="7" t="inlineStr">
        <is>
          <t>ABS</t>
        </is>
      </c>
      <c r="AZ91" s="7" t="n">
        <v>15.0</v>
      </c>
      <c r="BA91" s="7" t="inlineStr">
        <is>
          <t xml:space="preserve"> 西成区北津守４－１３－４３</t>
        </is>
      </c>
      <c r="BB91" s="7"/>
      <c r="BC91" s="7"/>
      <c r="BD91" s="7"/>
    </row>
    <row r="92" customHeight="true" ht="33.0">
      <c r="A92" s="13" t="inlineStr">
        <is>
          <t>DIDA</t>
        </is>
      </c>
      <c r="B92" s="14"/>
      <c r="C92" s="15" t="inlineStr">
        <is>
          <t>365027493762</t>
        </is>
      </c>
      <c r="D92" s="15" t="inlineStr">
        <is>
          <t>365027493762</t>
        </is>
      </c>
      <c r="E92" s="7" t="n">
        <v>1.0</v>
      </c>
      <c r="F92" s="11" t="n">
        <v>2.12</v>
      </c>
      <c r="G92" s="7" t="inlineStr">
        <is>
          <t>KGM</t>
        </is>
      </c>
      <c r="H92" s="16" t="n">
        <f>UPPER(AX92)</f>
        <v>0.0</v>
      </c>
      <c r="I92" s="16" t="n">
        <f>UPPER(AY92)</f>
        <v>0.0</v>
      </c>
      <c r="J92" s="16" t="inlineStr">
        <is>
          <t>片山 健丸 [カタヤマ タケマル]</t>
        </is>
      </c>
      <c r="K92" s="25" t="n">
        <f>UPPER(J92)</f>
        <v>0.0</v>
      </c>
      <c r="L92" s="25"/>
      <c r="M92" s="26" t="n">
        <f>AU92&amp;AV92&amp;AW92&amp;BD92</f>
        <v>0.0</v>
      </c>
      <c r="N92" s="27" t="n">
        <f>UPPER(M92)</f>
        <v>0.0</v>
      </c>
      <c r="O92" s="28" t="n">
        <f>MID(N92,MIN(IFERROR(FIND({0,1,2,3,4,5,6,7,8,9},N92),LEN(N92)+1)),LEN(N92))</f>
        <v>0.0</v>
      </c>
      <c r="P92" s="28" t="n">
        <f>L92&amp;" "&amp;O92</f>
        <v>0.0</v>
      </c>
      <c r="Q92" s="27" t="inlineStr">
        <is>
          <t>240-0023</t>
        </is>
      </c>
      <c r="R92" s="30" t="inlineStr">
        <is>
          <t>080-3478-2293</t>
        </is>
      </c>
      <c r="S92" s="31" t="inlineStr">
        <is>
          <t xml:space="preserve">HUI ZHOU JING SHAN GONG MAO YOU XIAN GONG SI </t>
        </is>
      </c>
      <c r="T92" s="31" t="inlineStr">
        <is>
          <t>GUANG DONG SHENG HUI ZHOU SHI HUI CHENG QU QIAO DONG JIE DAO HUI ZHOU SHI HUI ZHOU DA DAO 108 HAO</t>
        </is>
      </c>
      <c r="U92" s="32" t="inlineStr">
        <is>
          <t>C&amp;F</t>
        </is>
      </c>
      <c r="V92" s="32" t="inlineStr">
        <is>
          <t>JPY</t>
        </is>
      </c>
      <c r="W92" s="33"/>
      <c r="X92" s="34" t="n">
        <f>INT(AZ92)</f>
        <v>0.0</v>
      </c>
      <c r="Y92" s="32" t="inlineStr">
        <is>
          <t>A</t>
        </is>
      </c>
      <c r="Z92" s="32" t="inlineStr">
        <is>
          <t>JPY</t>
        </is>
      </c>
      <c r="AA92" s="32"/>
      <c r="AB92" s="32" t="inlineStr">
        <is>
          <t>CN</t>
        </is>
      </c>
      <c r="AD92" s="27" t="inlineStr">
        <is>
          <t>片山 健丸 [カタヤマ タケマル]</t>
        </is>
      </c>
      <c r="AE92" s="7" t="n">
        <f>AU92&amp;AV92&amp;AW92&amp;BD92</f>
        <v>0.0</v>
      </c>
      <c r="AF92" s="7" t="inlineStr">
        <is>
          <t>080-3478-2293</t>
        </is>
      </c>
      <c r="AG92" s="7" t="inlineStr">
        <is>
          <t>240-0023</t>
        </is>
      </c>
      <c r="AH92" s="7" t="inlineStr">
        <is>
          <t>楽天-OBSESSION-L</t>
        </is>
      </c>
      <c r="AI92" s="7" t="n">
        <f>BB92&amp;BC92&amp;BA92</f>
        <v>0.0</v>
      </c>
      <c r="AJ92" s="7" t="inlineStr">
        <is>
          <t xml:space="preserve"> 05036359867</t>
        </is>
      </c>
      <c r="AK92" s="39" t="inlineStr">
        <is>
          <t>C</t>
        </is>
      </c>
      <c r="AL92" s="39" t="n">
        <v>1.0</v>
      </c>
      <c r="AM92" s="27" t="n">
        <f>IF(OR(ISNUMBER(SEARCH("amazon",AH92)),ISNUMBER(SEARCH("亚马逊",AH92))),"PUS001",IF(OR(ISNUMBER(SEARCH("rakuten",AH92)),ISNUMBER(SEARCH("楽天",AH92)),ISNUMBER(SEARCH("乐天",AH92))),"PJP001",IF(ISNUMBER(SEARCH("tik tok shop",AH92)),"PSG003",IF(ISNUMBER(SEARCH("temu",AH92)),"PSG001",IF(ISNUMBER(SEARCH("shein",AH92)),"JSG001",IF(OR(ISNUMBER(SEARCH("yahoo",AH92)),ISNUMBER(SEARCH("雅虎",AH92)),ISNUMBER(SEARCH("雅",AH92)),LEFT(UPPER(AH92),1)="Y"),"PJP005",IF(ISNUMBER(SEARCH("DDA JAPAN",AH92)),CHOOSE(RANDBETWEEN(1,3),"temu","PSG003","PSG001"),"JCNZZZ")))))))</f>
        <v>0.0</v>
      </c>
      <c r="AN92" s="7" t="n">
        <f>IF(ISNUMBER(SEARCH("JCNZZZ",AM92)),CHOOSE(RANDBETWEEN(1,4),"TAOBAO0","JinDdong","PingDduoDduo","ALIBABA"),"")</f>
        <v>0.0</v>
      </c>
      <c r="AU92" s="7" t="inlineStr">
        <is>
          <t>神奈川県</t>
        </is>
      </c>
      <c r="AV92" s="7" t="inlineStr">
        <is>
          <t>横浜市保土ケ谷区</t>
        </is>
      </c>
      <c r="AW92" s="7" t="inlineStr">
        <is>
          <t>岩井町222 保土ヶ谷フラット3号棟317号</t>
        </is>
      </c>
      <c r="AX92" s="7" t="inlineStr">
        <is>
          <t>Toy</t>
        </is>
      </c>
      <c r="AY92" s="7" t="inlineStr">
        <is>
          <t>ABS</t>
        </is>
      </c>
      <c r="AZ92" s="7" t="n">
        <v>10.0</v>
      </c>
      <c r="BA92" s="7" t="inlineStr">
        <is>
          <t xml:space="preserve"> 西成区北津守４－１３－４３</t>
        </is>
      </c>
      <c r="BB92" s="7"/>
      <c r="BC92" s="7"/>
      <c r="BD92" s="7"/>
    </row>
    <row r="93" customHeight="true" ht="33.0">
      <c r="A93" s="13" t="inlineStr">
        <is>
          <t>DIDA</t>
        </is>
      </c>
      <c r="B93" s="14"/>
      <c r="C93" s="15" t="inlineStr">
        <is>
          <t>365027470603</t>
        </is>
      </c>
      <c r="D93" s="15" t="inlineStr">
        <is>
          <t>365027470603</t>
        </is>
      </c>
      <c r="E93" s="7" t="n">
        <v>1.0</v>
      </c>
      <c r="F93" s="11" t="n">
        <v>3.95</v>
      </c>
      <c r="G93" s="7" t="inlineStr">
        <is>
          <t>KGM</t>
        </is>
      </c>
      <c r="H93" s="16" t="n">
        <f>UPPER(AX93)</f>
        <v>0.0</v>
      </c>
      <c r="I93" s="16" t="n">
        <f>UPPER(AY93)</f>
        <v>0.0</v>
      </c>
      <c r="J93" s="16" t="inlineStr">
        <is>
          <t>五井</t>
        </is>
      </c>
      <c r="K93" s="25" t="n">
        <f>UPPER(J93)</f>
        <v>0.0</v>
      </c>
      <c r="L93" s="25"/>
      <c r="M93" s="26" t="n">
        <f>AU93&amp;AV93&amp;AW93&amp;BD93</f>
        <v>0.0</v>
      </c>
      <c r="N93" s="27" t="n">
        <f>UPPER(M93)</f>
        <v>0.0</v>
      </c>
      <c r="O93" s="28" t="n">
        <f>MID(N93,MIN(IFERROR(FIND({0,1,2,3,4,5,6,7,8,9},N93),LEN(N93)+1)),LEN(N93))</f>
        <v>0.0</v>
      </c>
      <c r="P93" s="28" t="n">
        <f>L93&amp;" "&amp;O93</f>
        <v>0.0</v>
      </c>
      <c r="Q93" s="27" t="inlineStr">
        <is>
          <t>335-0021</t>
        </is>
      </c>
      <c r="R93" s="30" t="inlineStr">
        <is>
          <t>8097169507</t>
        </is>
      </c>
      <c r="S93" s="31" t="inlineStr">
        <is>
          <t xml:space="preserve">HUI ZHOU JING SHAN GONG MAO YOU XIAN GONG SI </t>
        </is>
      </c>
      <c r="T93" s="31" t="inlineStr">
        <is>
          <t>GUANG DONG SHENG HUI ZHOU SHI HUI CHENG QU QIAO DONG JIE DAO HUI ZHOU SHI HUI ZHOU DA DAO 108 HAO</t>
        </is>
      </c>
      <c r="U93" s="32" t="inlineStr">
        <is>
          <t>C&amp;F</t>
        </is>
      </c>
      <c r="V93" s="32" t="inlineStr">
        <is>
          <t>JPY</t>
        </is>
      </c>
      <c r="W93" s="33"/>
      <c r="X93" s="34" t="n">
        <f>INT(AZ93)</f>
        <v>0.0</v>
      </c>
      <c r="Y93" s="32" t="inlineStr">
        <is>
          <t>A</t>
        </is>
      </c>
      <c r="Z93" s="32" t="inlineStr">
        <is>
          <t>JPY</t>
        </is>
      </c>
      <c r="AA93" s="32"/>
      <c r="AB93" s="32" t="inlineStr">
        <is>
          <t>CN</t>
        </is>
      </c>
      <c r="AD93" s="27" t="inlineStr">
        <is>
          <t>五井</t>
        </is>
      </c>
      <c r="AE93" s="7" t="n">
        <f>AU93&amp;AV93&amp;AW93&amp;BD93</f>
        <v>0.0</v>
      </c>
      <c r="AF93" s="7" t="inlineStr">
        <is>
          <t>8097169507</t>
        </is>
      </c>
      <c r="AG93" s="7" t="inlineStr">
        <is>
          <t>335-0021</t>
        </is>
      </c>
      <c r="AH93" s="7"/>
      <c r="AI93" s="7" t="n">
        <f>BB93&amp;BC93&amp;BA93</f>
        <v>0.0</v>
      </c>
      <c r="AJ93" s="7" t="inlineStr">
        <is>
          <t xml:space="preserve"> </t>
        </is>
      </c>
      <c r="AK93" s="39" t="inlineStr">
        <is>
          <t>C</t>
        </is>
      </c>
      <c r="AL93" s="39" t="n">
        <v>1.0</v>
      </c>
      <c r="AM93" s="27" t="n">
        <f>IF(OR(ISNUMBER(SEARCH("amazon",AH93)),ISNUMBER(SEARCH("亚马逊",AH93))),"PUS001",IF(OR(ISNUMBER(SEARCH("rakuten",AH93)),ISNUMBER(SEARCH("楽天",AH93)),ISNUMBER(SEARCH("乐天",AH93))),"PJP001",IF(ISNUMBER(SEARCH("tik tok shop",AH93)),"PSG003",IF(ISNUMBER(SEARCH("temu",AH93)),"PSG001",IF(ISNUMBER(SEARCH("shein",AH93)),"JSG001",IF(OR(ISNUMBER(SEARCH("yahoo",AH93)),ISNUMBER(SEARCH("雅虎",AH93)),ISNUMBER(SEARCH("雅",AH93)),LEFT(UPPER(AH93),1)="Y"),"PJP005",IF(ISNUMBER(SEARCH("DDA JAPAN",AH93)),CHOOSE(RANDBETWEEN(1,3),"temu","PSG003","PSG001"),"JCNZZZ")))))))</f>
        <v>0.0</v>
      </c>
      <c r="AN93" s="7" t="n">
        <f>IF(ISNUMBER(SEARCH("JCNZZZ",AM93)),CHOOSE(RANDBETWEEN(1,4),"TAOBAO0","JinDdong","PingDduoDduo","ALIBABA"),"")</f>
        <v>0.0</v>
      </c>
      <c r="AU93" s="7"/>
      <c r="AV93" s="7"/>
      <c r="AW93" s="7" t="inlineStr">
        <is>
          <t>埼玉県戸田市新曽802-2 エクリューズ 204</t>
        </is>
      </c>
      <c r="AX93" s="7" t="inlineStr">
        <is>
          <t>plastic toys</t>
        </is>
      </c>
      <c r="AY93" s="7" t="inlineStr">
        <is>
          <t>ABS</t>
        </is>
      </c>
      <c r="AZ93" s="7" t="n">
        <v>12.8</v>
      </c>
      <c r="BA93" s="7" t="inlineStr">
        <is>
          <t xml:space="preserve"> </t>
        </is>
      </c>
      <c r="BB93" s="7"/>
      <c r="BC93" s="7"/>
      <c r="BD93" s="7"/>
    </row>
    <row r="94" customHeight="true" ht="33.0">
      <c r="A94" s="13" t="inlineStr">
        <is>
          <t>DIDA</t>
        </is>
      </c>
      <c r="B94" s="14"/>
      <c r="C94" s="15" t="inlineStr">
        <is>
          <t>365027493390</t>
        </is>
      </c>
      <c r="D94" s="15" t="inlineStr">
        <is>
          <t>365027493390</t>
        </is>
      </c>
      <c r="E94" s="7" t="n">
        <v>1.0</v>
      </c>
      <c r="F94" s="11" t="n">
        <v>1.13</v>
      </c>
      <c r="G94" s="7" t="inlineStr">
        <is>
          <t>KGM</t>
        </is>
      </c>
      <c r="H94" s="16" t="n">
        <f>UPPER(AX94)</f>
        <v>0.0</v>
      </c>
      <c r="I94" s="16" t="n">
        <f>UPPER(AY94)</f>
        <v>0.0</v>
      </c>
      <c r="J94" s="16" t="inlineStr">
        <is>
          <t>加我 しおり [カガ シオリ]</t>
        </is>
      </c>
      <c r="K94" s="25" t="n">
        <f>UPPER(J94)</f>
        <v>0.0</v>
      </c>
      <c r="L94" s="25"/>
      <c r="M94" s="26" t="n">
        <f>AU94&amp;AV94&amp;AW94&amp;BD94</f>
        <v>0.0</v>
      </c>
      <c r="N94" s="27" t="n">
        <f>UPPER(M94)</f>
        <v>0.0</v>
      </c>
      <c r="O94" s="28" t="n">
        <f>MID(N94,MIN(IFERROR(FIND({0,1,2,3,4,5,6,7,8,9},N94),LEN(N94)+1)),LEN(N94))</f>
        <v>0.0</v>
      </c>
      <c r="P94" s="28" t="n">
        <f>L94&amp;" "&amp;O94</f>
        <v>0.0</v>
      </c>
      <c r="Q94" s="27" t="inlineStr">
        <is>
          <t>059-0907</t>
        </is>
      </c>
      <c r="R94" s="30" t="inlineStr">
        <is>
          <t>090-5071-6421</t>
        </is>
      </c>
      <c r="S94" s="31" t="inlineStr">
        <is>
          <t xml:space="preserve">HUI ZHOU JING SHAN GONG MAO YOU XIAN GONG SI </t>
        </is>
      </c>
      <c r="T94" s="31" t="inlineStr">
        <is>
          <t>GUANG DONG SHENG HUI ZHOU SHI HUI CHENG QU QIAO DONG JIE DAO HUI ZHOU SHI HUI ZHOU DA DAO 108 HAO</t>
        </is>
      </c>
      <c r="U94" s="32" t="inlineStr">
        <is>
          <t>C&amp;F</t>
        </is>
      </c>
      <c r="V94" s="32" t="inlineStr">
        <is>
          <t>JPY</t>
        </is>
      </c>
      <c r="W94" s="33"/>
      <c r="X94" s="34" t="n">
        <f>INT(AZ94)</f>
        <v>0.0</v>
      </c>
      <c r="Y94" s="32" t="inlineStr">
        <is>
          <t>A</t>
        </is>
      </c>
      <c r="Z94" s="32" t="inlineStr">
        <is>
          <t>JPY</t>
        </is>
      </c>
      <c r="AA94" s="32"/>
      <c r="AB94" s="32" t="inlineStr">
        <is>
          <t>CN</t>
        </is>
      </c>
      <c r="AD94" s="27" t="inlineStr">
        <is>
          <t>加我 しおり [カガ シオリ]</t>
        </is>
      </c>
      <c r="AE94" s="7" t="n">
        <f>AU94&amp;AV94&amp;AW94&amp;BD94</f>
        <v>0.0</v>
      </c>
      <c r="AF94" s="7" t="inlineStr">
        <is>
          <t>090-5071-6421</t>
        </is>
      </c>
      <c r="AG94" s="7" t="inlineStr">
        <is>
          <t>059-0907</t>
        </is>
      </c>
      <c r="AH94" s="7" t="inlineStr">
        <is>
          <t>楽天-eightyone-H</t>
        </is>
      </c>
      <c r="AI94" s="7" t="n">
        <f>BB94&amp;BC94&amp;BA94</f>
        <v>0.0</v>
      </c>
      <c r="AJ94" s="7" t="inlineStr">
        <is>
          <t xml:space="preserve"> 036-161-6083</t>
        </is>
      </c>
      <c r="AK94" s="39" t="inlineStr">
        <is>
          <t>C</t>
        </is>
      </c>
      <c r="AL94" s="39" t="n">
        <v>1.0</v>
      </c>
      <c r="AM94" s="27" t="n">
        <f>IF(OR(ISNUMBER(SEARCH("amazon",AH94)),ISNUMBER(SEARCH("亚马逊",AH94))),"PUS001",IF(OR(ISNUMBER(SEARCH("rakuten",AH94)),ISNUMBER(SEARCH("楽天",AH94)),ISNUMBER(SEARCH("乐天",AH94))),"PJP001",IF(ISNUMBER(SEARCH("tik tok shop",AH94)),"PSG003",IF(ISNUMBER(SEARCH("temu",AH94)),"PSG001",IF(ISNUMBER(SEARCH("shein",AH94)),"JSG001",IF(OR(ISNUMBER(SEARCH("yahoo",AH94)),ISNUMBER(SEARCH("雅虎",AH94)),ISNUMBER(SEARCH("雅",AH94)),LEFT(UPPER(AH94),1)="Y"),"PJP005",IF(ISNUMBER(SEARCH("DDA JAPAN",AH94)),CHOOSE(RANDBETWEEN(1,3),"temu","PSG003","PSG001"),"JCNZZZ")))))))</f>
        <v>0.0</v>
      </c>
      <c r="AN94" s="7" t="n">
        <f>IF(ISNUMBER(SEARCH("JCNZZZ",AM94)),CHOOSE(RANDBETWEEN(1,4),"TAOBAO0","JinDdong","PingDduoDduo","ALIBABA"),"")</f>
        <v>0.0</v>
      </c>
      <c r="AU94" s="7" t="inlineStr">
        <is>
          <t>北海道</t>
        </is>
      </c>
      <c r="AV94" s="7" t="inlineStr">
        <is>
          <t>白老郡白老町</t>
        </is>
      </c>
      <c r="AW94" s="7" t="inlineStr">
        <is>
          <t>末広町4丁目10-7</t>
        </is>
      </c>
      <c r="AX94" s="7" t="inlineStr">
        <is>
          <t>Toy car</t>
        </is>
      </c>
      <c r="AY94" s="7" t="inlineStr">
        <is>
          <t>ABS</t>
        </is>
      </c>
      <c r="AZ94" s="7" t="n">
        <v>16.8</v>
      </c>
      <c r="BA94" s="7" t="inlineStr">
        <is>
          <t xml:space="preserve"> 東京都品川区平塚1-13-1</t>
        </is>
      </c>
      <c r="BB94" s="7"/>
      <c r="BC94" s="7"/>
      <c r="BD94" s="7"/>
    </row>
    <row r="95" customHeight="true" ht="33.0">
      <c r="A95" s="13" t="inlineStr">
        <is>
          <t>DIDA</t>
        </is>
      </c>
      <c r="B95" s="14"/>
      <c r="C95" s="15" t="inlineStr">
        <is>
          <t>365027469936</t>
        </is>
      </c>
      <c r="D95" s="15" t="inlineStr">
        <is>
          <t>365027469936</t>
        </is>
      </c>
      <c r="E95" s="7" t="n">
        <v>1.0</v>
      </c>
      <c r="F95" s="11" t="n">
        <v>3.76</v>
      </c>
      <c r="G95" s="7" t="inlineStr">
        <is>
          <t>KGM</t>
        </is>
      </c>
      <c r="H95" s="16" t="n">
        <f>UPPER(AX95)</f>
        <v>0.0</v>
      </c>
      <c r="I95" s="16" t="n">
        <f>UPPER(AY95)</f>
        <v>0.0</v>
      </c>
      <c r="J95" s="16" t="inlineStr">
        <is>
          <t>安达翔</t>
        </is>
      </c>
      <c r="K95" s="25" t="n">
        <f>UPPER(J95)</f>
        <v>0.0</v>
      </c>
      <c r="L95" s="25"/>
      <c r="M95" s="26" t="n">
        <f>AU95&amp;AV95&amp;AW95&amp;BD95</f>
        <v>0.0</v>
      </c>
      <c r="N95" s="27" t="n">
        <f>UPPER(M95)</f>
        <v>0.0</v>
      </c>
      <c r="O95" s="28" t="n">
        <f>MID(N95,MIN(IFERROR(FIND({0,1,2,3,4,5,6,7,8,9},N95),LEN(N95)+1)),LEN(N95))</f>
        <v>0.0</v>
      </c>
      <c r="P95" s="28" t="n">
        <f>L95&amp;" "&amp;O95</f>
        <v>0.0</v>
      </c>
      <c r="Q95" s="27" t="inlineStr">
        <is>
          <t>350-1317</t>
        </is>
      </c>
      <c r="R95" s="30" t="inlineStr">
        <is>
          <t>08059682833</t>
        </is>
      </c>
      <c r="S95" s="31" t="inlineStr">
        <is>
          <t xml:space="preserve">HUI ZHOU JING SHAN GONG MAO YOU XIAN GONG SI </t>
        </is>
      </c>
      <c r="T95" s="31" t="inlineStr">
        <is>
          <t>GUANG DONG SHENG HUI ZHOU SHI HUI CHENG QU QIAO DONG JIE DAO HUI ZHOU SHI HUI ZHOU DA DAO 108 HAO</t>
        </is>
      </c>
      <c r="U95" s="32" t="inlineStr">
        <is>
          <t>C&amp;F</t>
        </is>
      </c>
      <c r="V95" s="32" t="inlineStr">
        <is>
          <t>JPY</t>
        </is>
      </c>
      <c r="W95" s="33"/>
      <c r="X95" s="34" t="n">
        <f>INT(AZ95)</f>
        <v>0.0</v>
      </c>
      <c r="Y95" s="32" t="inlineStr">
        <is>
          <t>A</t>
        </is>
      </c>
      <c r="Z95" s="32" t="inlineStr">
        <is>
          <t>JPY</t>
        </is>
      </c>
      <c r="AA95" s="32"/>
      <c r="AB95" s="32" t="inlineStr">
        <is>
          <t>CN</t>
        </is>
      </c>
      <c r="AD95" s="27" t="inlineStr">
        <is>
          <t>安达翔</t>
        </is>
      </c>
      <c r="AE95" s="7" t="n">
        <f>AU95&amp;AV95&amp;AW95&amp;BD95</f>
        <v>0.0</v>
      </c>
      <c r="AF95" s="7" t="inlineStr">
        <is>
          <t>08059682833</t>
        </is>
      </c>
      <c r="AG95" s="7" t="inlineStr">
        <is>
          <t>350-1317</t>
        </is>
      </c>
      <c r="AH95" s="7"/>
      <c r="AI95" s="7" t="n">
        <f>BB95&amp;BC95&amp;BA95</f>
        <v>0.0</v>
      </c>
      <c r="AJ95" s="7" t="inlineStr">
        <is>
          <t xml:space="preserve"> </t>
        </is>
      </c>
      <c r="AK95" s="39" t="inlineStr">
        <is>
          <t>C</t>
        </is>
      </c>
      <c r="AL95" s="39" t="n">
        <v>1.0</v>
      </c>
      <c r="AM95" s="27" t="n">
        <f>IF(OR(ISNUMBER(SEARCH("amazon",AH95)),ISNUMBER(SEARCH("亚马逊",AH95))),"PUS001",IF(OR(ISNUMBER(SEARCH("rakuten",AH95)),ISNUMBER(SEARCH("楽天",AH95)),ISNUMBER(SEARCH("乐天",AH95))),"PJP001",IF(ISNUMBER(SEARCH("tik tok shop",AH95)),"PSG003",IF(ISNUMBER(SEARCH("temu",AH95)),"PSG001",IF(ISNUMBER(SEARCH("shein",AH95)),"JSG001",IF(OR(ISNUMBER(SEARCH("yahoo",AH95)),ISNUMBER(SEARCH("雅虎",AH95)),ISNUMBER(SEARCH("雅",AH95)),LEFT(UPPER(AH95),1)="Y"),"PJP005",IF(ISNUMBER(SEARCH("DDA JAPAN",AH95)),CHOOSE(RANDBETWEEN(1,3),"temu","PSG003","PSG001"),"JCNZZZ")))))))</f>
        <v>0.0</v>
      </c>
      <c r="AN95" s="7" t="n">
        <f>IF(ISNUMBER(SEARCH("JCNZZZ",AM95)),CHOOSE(RANDBETWEEN(1,4),"TAOBAO0","JinDdong","PingDduoDduo","ALIBABA"),"")</f>
        <v>0.0</v>
      </c>
      <c r="AU95" s="7"/>
      <c r="AV95" s="7"/>
      <c r="AW95" s="7" t="inlineStr">
        <is>
          <t>埼玉県狭山市大字水野５０７－１</t>
        </is>
      </c>
      <c r="AX95" s="7" t="inlineStr">
        <is>
          <t>plastic toys</t>
        </is>
      </c>
      <c r="AY95" s="7" t="inlineStr">
        <is>
          <t>ABS</t>
        </is>
      </c>
      <c r="AZ95" s="7" t="n">
        <v>12.8</v>
      </c>
      <c r="BA95" s="7" t="inlineStr">
        <is>
          <t xml:space="preserve"> </t>
        </is>
      </c>
      <c r="BB95" s="7"/>
      <c r="BC95" s="7"/>
      <c r="BD95" s="7"/>
    </row>
    <row r="96" customHeight="true" ht="33.0">
      <c r="A96" s="13" t="inlineStr">
        <is>
          <t>DIDA</t>
        </is>
      </c>
      <c r="B96" s="14"/>
      <c r="C96" s="15" t="inlineStr">
        <is>
          <t>365027493821</t>
        </is>
      </c>
      <c r="D96" s="15" t="inlineStr">
        <is>
          <t>365027493821</t>
        </is>
      </c>
      <c r="E96" s="7" t="n">
        <v>1.0</v>
      </c>
      <c r="F96" s="11" t="n">
        <v>1.96</v>
      </c>
      <c r="G96" s="7" t="inlineStr">
        <is>
          <t>KGM</t>
        </is>
      </c>
      <c r="H96" s="16" t="n">
        <f>UPPER(AX96)</f>
        <v>0.0</v>
      </c>
      <c r="I96" s="16" t="n">
        <f>UPPER(AY96)</f>
        <v>0.0</v>
      </c>
      <c r="J96" s="16" t="inlineStr">
        <is>
          <t>長井 千晶 [ナガイ チアキ]</t>
        </is>
      </c>
      <c r="K96" s="25" t="n">
        <f>UPPER(J96)</f>
        <v>0.0</v>
      </c>
      <c r="L96" s="25"/>
      <c r="M96" s="26" t="n">
        <f>AU96&amp;AV96&amp;AW96&amp;BD96</f>
        <v>0.0</v>
      </c>
      <c r="N96" s="27" t="n">
        <f>UPPER(M96)</f>
        <v>0.0</v>
      </c>
      <c r="O96" s="28" t="n">
        <f>MID(N96,MIN(IFERROR(FIND({0,1,2,3,4,5,6,7,8,9},N96),LEN(N96)+1)),LEN(N96))</f>
        <v>0.0</v>
      </c>
      <c r="P96" s="28" t="n">
        <f>L96&amp;" "&amp;O96</f>
        <v>0.0</v>
      </c>
      <c r="Q96" s="27" t="inlineStr">
        <is>
          <t>776-0013</t>
        </is>
      </c>
      <c r="R96" s="30" t="inlineStr">
        <is>
          <t>080-5669-9363</t>
        </is>
      </c>
      <c r="S96" s="31" t="inlineStr">
        <is>
          <t xml:space="preserve">HUI ZHOU JING SHAN GONG MAO YOU XIAN GONG SI </t>
        </is>
      </c>
      <c r="T96" s="31" t="inlineStr">
        <is>
          <t>GUANG DONG SHENG HUI ZHOU SHI HUI CHENG QU QIAO DONG JIE DAO HUI ZHOU SHI HUI ZHOU DA DAO 108 HAO</t>
        </is>
      </c>
      <c r="U96" s="32" t="inlineStr">
        <is>
          <t>C&amp;F</t>
        </is>
      </c>
      <c r="V96" s="32" t="inlineStr">
        <is>
          <t>JPY</t>
        </is>
      </c>
      <c r="W96" s="33"/>
      <c r="X96" s="34" t="n">
        <f>INT(AZ96)</f>
        <v>0.0</v>
      </c>
      <c r="Y96" s="32" t="inlineStr">
        <is>
          <t>A</t>
        </is>
      </c>
      <c r="Z96" s="32" t="inlineStr">
        <is>
          <t>JPY</t>
        </is>
      </c>
      <c r="AA96" s="32"/>
      <c r="AB96" s="32" t="inlineStr">
        <is>
          <t>CN</t>
        </is>
      </c>
      <c r="AD96" s="27" t="inlineStr">
        <is>
          <t>長井 千晶 [ナガイ チアキ]</t>
        </is>
      </c>
      <c r="AE96" s="7" t="n">
        <f>AU96&amp;AV96&amp;AW96&amp;BD96</f>
        <v>0.0</v>
      </c>
      <c r="AF96" s="7" t="inlineStr">
        <is>
          <t>080-5669-9363</t>
        </is>
      </c>
      <c r="AG96" s="7" t="inlineStr">
        <is>
          <t>776-0013</t>
        </is>
      </c>
      <c r="AH96" s="7" t="inlineStr">
        <is>
          <t>楽天-OBSESSION-L</t>
        </is>
      </c>
      <c r="AI96" s="7" t="n">
        <f>BB96&amp;BC96&amp;BA96</f>
        <v>0.0</v>
      </c>
      <c r="AJ96" s="7" t="inlineStr">
        <is>
          <t xml:space="preserve"> 05036359867</t>
        </is>
      </c>
      <c r="AK96" s="39" t="inlineStr">
        <is>
          <t>C</t>
        </is>
      </c>
      <c r="AL96" s="39" t="n">
        <v>1.0</v>
      </c>
      <c r="AM96" s="27" t="n">
        <f>IF(OR(ISNUMBER(SEARCH("amazon",AH96)),ISNUMBER(SEARCH("亚马逊",AH96))),"PUS001",IF(OR(ISNUMBER(SEARCH("rakuten",AH96)),ISNUMBER(SEARCH("楽天",AH96)),ISNUMBER(SEARCH("乐天",AH96))),"PJP001",IF(ISNUMBER(SEARCH("tik tok shop",AH96)),"PSG003",IF(ISNUMBER(SEARCH("temu",AH96)),"PSG001",IF(ISNUMBER(SEARCH("shein",AH96)),"JSG001",IF(OR(ISNUMBER(SEARCH("yahoo",AH96)),ISNUMBER(SEARCH("雅虎",AH96)),ISNUMBER(SEARCH("雅",AH96)),LEFT(UPPER(AH96),1)="Y"),"PJP005",IF(ISNUMBER(SEARCH("DDA JAPAN",AH96)),CHOOSE(RANDBETWEEN(1,3),"temu","PSG003","PSG001"),"JCNZZZ")))))))</f>
        <v>0.0</v>
      </c>
      <c r="AN96" s="7" t="n">
        <f>IF(ISNUMBER(SEARCH("JCNZZZ",AM96)),CHOOSE(RANDBETWEEN(1,4),"TAOBAO0","JinDdong","PingDduoDduo","ALIBABA"),"")</f>
        <v>0.0</v>
      </c>
      <c r="AU96" s="7" t="inlineStr">
        <is>
          <t>徳島県</t>
        </is>
      </c>
      <c r="AV96" s="7" t="inlineStr">
        <is>
          <t>吉野川市</t>
        </is>
      </c>
      <c r="AW96" s="7" t="inlineStr">
        <is>
          <t>鴨島町上下島字野神ノ元125-1 五九郎ビル2F</t>
        </is>
      </c>
      <c r="AX96" s="7" t="inlineStr">
        <is>
          <t>Storage bag</t>
        </is>
      </c>
      <c r="AY96" s="7" t="inlineStr">
        <is>
          <t>Polyester</t>
        </is>
      </c>
      <c r="AZ96" s="7" t="n">
        <v>13.0</v>
      </c>
      <c r="BA96" s="7" t="inlineStr">
        <is>
          <t xml:space="preserve"> 西成区北津守４－１３－４３</t>
        </is>
      </c>
      <c r="BB96" s="7"/>
      <c r="BC96" s="7"/>
      <c r="BD96" s="7"/>
    </row>
    <row r="97" customHeight="true" ht="33.0">
      <c r="A97" s="13" t="inlineStr">
        <is>
          <t>DIDA</t>
        </is>
      </c>
      <c r="B97" s="14"/>
      <c r="C97" s="15" t="inlineStr">
        <is>
          <t>365027493681</t>
        </is>
      </c>
      <c r="D97" s="15" t="inlineStr">
        <is>
          <t>365027493681</t>
        </is>
      </c>
      <c r="E97" s="7" t="n">
        <v>1.0</v>
      </c>
      <c r="F97" s="11" t="n">
        <v>0.83</v>
      </c>
      <c r="G97" s="7" t="inlineStr">
        <is>
          <t>KGM</t>
        </is>
      </c>
      <c r="H97" s="16" t="n">
        <f>UPPER(AX97)</f>
        <v>0.0</v>
      </c>
      <c r="I97" s="16" t="n">
        <f>UPPER(AY97)</f>
        <v>0.0</v>
      </c>
      <c r="J97" s="16" t="inlineStr">
        <is>
          <t>道用 明日香 [ドウヨウ アスカ]</t>
        </is>
      </c>
      <c r="K97" s="25" t="n">
        <f>UPPER(J97)</f>
        <v>0.0</v>
      </c>
      <c r="L97" s="25"/>
      <c r="M97" s="26" t="n">
        <f>AU97&amp;AV97&amp;AW97&amp;BD97</f>
        <v>0.0</v>
      </c>
      <c r="N97" s="27" t="n">
        <f>UPPER(M97)</f>
        <v>0.0</v>
      </c>
      <c r="O97" s="28" t="n">
        <f>MID(N97,MIN(IFERROR(FIND({0,1,2,3,4,5,6,7,8,9},N97),LEN(N97)+1)),LEN(N97))</f>
        <v>0.0</v>
      </c>
      <c r="P97" s="28" t="n">
        <f>L97&amp;" "&amp;O97</f>
        <v>0.0</v>
      </c>
      <c r="Q97" s="27" t="inlineStr">
        <is>
          <t>565-0854</t>
        </is>
      </c>
      <c r="R97" s="30" t="inlineStr">
        <is>
          <t>080-3134-0325</t>
        </is>
      </c>
      <c r="S97" s="31" t="inlineStr">
        <is>
          <t xml:space="preserve">HUI ZHOU JING SHAN GONG MAO YOU XIAN GONG SI </t>
        </is>
      </c>
      <c r="T97" s="31" t="inlineStr">
        <is>
          <t>GUANG DONG SHENG HUI ZHOU SHI HUI CHENG QU QIAO DONG JIE DAO HUI ZHOU SHI HUI ZHOU DA DAO 108 HAO</t>
        </is>
      </c>
      <c r="U97" s="32" t="inlineStr">
        <is>
          <t>C&amp;F</t>
        </is>
      </c>
      <c r="V97" s="32" t="inlineStr">
        <is>
          <t>JPY</t>
        </is>
      </c>
      <c r="W97" s="33"/>
      <c r="X97" s="34" t="n">
        <f>INT(AZ97)</f>
        <v>0.0</v>
      </c>
      <c r="Y97" s="32" t="inlineStr">
        <is>
          <t>A</t>
        </is>
      </c>
      <c r="Z97" s="32" t="inlineStr">
        <is>
          <t>JPY</t>
        </is>
      </c>
      <c r="AA97" s="32"/>
      <c r="AB97" s="32" t="inlineStr">
        <is>
          <t>CN</t>
        </is>
      </c>
      <c r="AD97" s="27" t="inlineStr">
        <is>
          <t>道用 明日香 [ドウヨウ アスカ]</t>
        </is>
      </c>
      <c r="AE97" s="7" t="n">
        <f>AU97&amp;AV97&amp;AW97&amp;BD97</f>
        <v>0.0</v>
      </c>
      <c r="AF97" s="7" t="inlineStr">
        <is>
          <t>080-3134-0325</t>
        </is>
      </c>
      <c r="AG97" s="7" t="inlineStr">
        <is>
          <t>565-0854</t>
        </is>
      </c>
      <c r="AH97" s="7" t="inlineStr">
        <is>
          <t>楽天-kaneshiro</t>
        </is>
      </c>
      <c r="AI97" s="7" t="n">
        <f>BB97&amp;BC97&amp;BA97</f>
        <v>0.0</v>
      </c>
      <c r="AJ97" s="7" t="inlineStr">
        <is>
          <t xml:space="preserve"> 05030921748</t>
        </is>
      </c>
      <c r="AK97" s="39" t="inlineStr">
        <is>
          <t>C</t>
        </is>
      </c>
      <c r="AL97" s="39" t="n">
        <v>1.0</v>
      </c>
      <c r="AM97" s="27" t="n">
        <f>IF(OR(ISNUMBER(SEARCH("amazon",AH97)),ISNUMBER(SEARCH("亚马逊",AH97))),"PUS001",IF(OR(ISNUMBER(SEARCH("rakuten",AH97)),ISNUMBER(SEARCH("楽天",AH97)),ISNUMBER(SEARCH("乐天",AH97))),"PJP001",IF(ISNUMBER(SEARCH("tik tok shop",AH97)),"PSG003",IF(ISNUMBER(SEARCH("temu",AH97)),"PSG001",IF(ISNUMBER(SEARCH("shein",AH97)),"JSG001",IF(OR(ISNUMBER(SEARCH("yahoo",AH97)),ISNUMBER(SEARCH("雅虎",AH97)),ISNUMBER(SEARCH("雅",AH97)),LEFT(UPPER(AH97),1)="Y"),"PJP005",IF(ISNUMBER(SEARCH("DDA JAPAN",AH97)),CHOOSE(RANDBETWEEN(1,3),"temu","PSG003","PSG001"),"JCNZZZ")))))))</f>
        <v>0.0</v>
      </c>
      <c r="AN97" s="7" t="n">
        <f>IF(ISNUMBER(SEARCH("JCNZZZ",AM97)),CHOOSE(RANDBETWEEN(1,4),"TAOBAO0","JinDdong","PingDduoDduo","ALIBABA"),"")</f>
        <v>0.0</v>
      </c>
      <c r="AU97" s="7" t="inlineStr">
        <is>
          <t>大阪府</t>
        </is>
      </c>
      <c r="AV97" s="7" t="inlineStr">
        <is>
          <t>吹田市</t>
        </is>
      </c>
      <c r="AW97" s="7" t="inlineStr">
        <is>
          <t>桃山台2-3-8 アンビエラ桃山台208</t>
        </is>
      </c>
      <c r="AX97" s="7" t="inlineStr">
        <is>
          <t>bag,toy</t>
        </is>
      </c>
      <c r="AY97" s="7" t="inlineStr">
        <is>
          <t>plastic</t>
        </is>
      </c>
      <c r="AZ97" s="7" t="n">
        <v>4.65</v>
      </c>
      <c r="BA97" s="7" t="inlineStr">
        <is>
          <t xml:space="preserve"> 大阪府大阪市東住吉区住道矢田七丁目１０番１３号</t>
        </is>
      </c>
      <c r="BB97" s="7"/>
      <c r="BC97" s="7"/>
      <c r="BD97" s="7"/>
    </row>
    <row r="98" customHeight="true" ht="33.0">
      <c r="A98" s="13" t="inlineStr">
        <is>
          <t>DIDA</t>
        </is>
      </c>
      <c r="B98" s="14"/>
      <c r="C98" s="15" t="inlineStr">
        <is>
          <t>365027493725</t>
        </is>
      </c>
      <c r="D98" s="15" t="inlineStr">
        <is>
          <t>365027493725</t>
        </is>
      </c>
      <c r="E98" s="7" t="n">
        <v>1.0</v>
      </c>
      <c r="F98" s="11" t="n">
        <v>1.81</v>
      </c>
      <c r="G98" s="7" t="inlineStr">
        <is>
          <t>KGM</t>
        </is>
      </c>
      <c r="H98" s="16" t="n">
        <f>UPPER(AX98)</f>
        <v>0.0</v>
      </c>
      <c r="I98" s="16" t="n">
        <f>UPPER(AY98)</f>
        <v>0.0</v>
      </c>
      <c r="J98" s="16" t="inlineStr">
        <is>
          <t>小川 容江 [オガワ ヨウコ]</t>
        </is>
      </c>
      <c r="K98" s="25" t="n">
        <f>UPPER(J98)</f>
        <v>0.0</v>
      </c>
      <c r="L98" s="25"/>
      <c r="M98" s="26" t="n">
        <f>AU98&amp;AV98&amp;AW98&amp;BD98</f>
        <v>0.0</v>
      </c>
      <c r="N98" s="27" t="n">
        <f>UPPER(M98)</f>
        <v>0.0</v>
      </c>
      <c r="O98" s="28" t="n">
        <f>MID(N98,MIN(IFERROR(FIND({0,1,2,3,4,5,6,7,8,9},N98),LEN(N98)+1)),LEN(N98))</f>
        <v>0.0</v>
      </c>
      <c r="P98" s="28" t="n">
        <f>L98&amp;" "&amp;O98</f>
        <v>0.0</v>
      </c>
      <c r="Q98" s="27" t="inlineStr">
        <is>
          <t>899-2707</t>
        </is>
      </c>
      <c r="R98" s="30" t="inlineStr">
        <is>
          <t>080-5242-1674</t>
        </is>
      </c>
      <c r="S98" s="31" t="inlineStr">
        <is>
          <t xml:space="preserve">HUI ZHOU JING SHAN GONG MAO YOU XIAN GONG SI </t>
        </is>
      </c>
      <c r="T98" s="31" t="inlineStr">
        <is>
          <t>GUANG DONG SHENG HUI ZHOU SHI HUI CHENG QU QIAO DONG JIE DAO HUI ZHOU SHI HUI ZHOU DA DAO 108 HAO</t>
        </is>
      </c>
      <c r="U98" s="32" t="inlineStr">
        <is>
          <t>C&amp;F</t>
        </is>
      </c>
      <c r="V98" s="32" t="inlineStr">
        <is>
          <t>JPY</t>
        </is>
      </c>
      <c r="W98" s="33"/>
      <c r="X98" s="34" t="n">
        <f>INT(AZ98)</f>
        <v>0.0</v>
      </c>
      <c r="Y98" s="32" t="inlineStr">
        <is>
          <t>A</t>
        </is>
      </c>
      <c r="Z98" s="32" t="inlineStr">
        <is>
          <t>JPY</t>
        </is>
      </c>
      <c r="AA98" s="32"/>
      <c r="AB98" s="32" t="inlineStr">
        <is>
          <t>CN</t>
        </is>
      </c>
      <c r="AD98" s="27" t="inlineStr">
        <is>
          <t>小川 容江 [オガワ ヨウコ]</t>
        </is>
      </c>
      <c r="AE98" s="7" t="n">
        <f>AU98&amp;AV98&amp;AW98&amp;BD98</f>
        <v>0.0</v>
      </c>
      <c r="AF98" s="7" t="inlineStr">
        <is>
          <t>080-5242-1674</t>
        </is>
      </c>
      <c r="AG98" s="7" t="inlineStr">
        <is>
          <t>899-2707</t>
        </is>
      </c>
      <c r="AH98" s="7" t="inlineStr">
        <is>
          <t>楽天-さのののストア</t>
        </is>
      </c>
      <c r="AI98" s="7" t="n">
        <f>BB98&amp;BC98&amp;BA98</f>
        <v>0.0</v>
      </c>
      <c r="AJ98" s="7" t="inlineStr">
        <is>
          <t xml:space="preserve"> 050-8882-6402</t>
        </is>
      </c>
      <c r="AK98" s="39" t="inlineStr">
        <is>
          <t>C</t>
        </is>
      </c>
      <c r="AL98" s="39" t="n">
        <v>1.0</v>
      </c>
      <c r="AM98" s="27" t="n">
        <f>IF(OR(ISNUMBER(SEARCH("amazon",AH98)),ISNUMBER(SEARCH("亚马逊",AH98))),"PUS001",IF(OR(ISNUMBER(SEARCH("rakuten",AH98)),ISNUMBER(SEARCH("楽天",AH98)),ISNUMBER(SEARCH("乐天",AH98))),"PJP001",IF(ISNUMBER(SEARCH("tik tok shop",AH98)),"PSG003",IF(ISNUMBER(SEARCH("temu",AH98)),"PSG001",IF(ISNUMBER(SEARCH("shein",AH98)),"JSG001",IF(OR(ISNUMBER(SEARCH("yahoo",AH98)),ISNUMBER(SEARCH("雅虎",AH98)),ISNUMBER(SEARCH("雅",AH98)),LEFT(UPPER(AH98),1)="Y"),"PJP005",IF(ISNUMBER(SEARCH("DDA JAPAN",AH98)),CHOOSE(RANDBETWEEN(1,3),"temu","PSG003","PSG001"),"JCNZZZ")))))))</f>
        <v>0.0</v>
      </c>
      <c r="AN98" s="7" t="n">
        <f>IF(ISNUMBER(SEARCH("JCNZZZ",AM98)),CHOOSE(RANDBETWEEN(1,4),"TAOBAO0","JinDdong","PingDduoDduo","ALIBABA"),"")</f>
        <v>0.0</v>
      </c>
      <c r="AU98" s="7" t="inlineStr">
        <is>
          <t>鹿児島県</t>
        </is>
      </c>
      <c r="AV98" s="7" t="inlineStr">
        <is>
          <t>鹿児島市</t>
        </is>
      </c>
      <c r="AW98" s="7" t="inlineStr">
        <is>
          <t>松陽台町40番地県営住宅松陽台団地34棟104</t>
        </is>
      </c>
      <c r="AX98" s="7" t="inlineStr">
        <is>
          <t>towel,bag,toy</t>
        </is>
      </c>
      <c r="AY98" s="7" t="inlineStr">
        <is>
          <t>toy</t>
        </is>
      </c>
      <c r="AZ98" s="7" t="n">
        <v>9.0</v>
      </c>
      <c r="BA98" s="7" t="inlineStr">
        <is>
          <t xml:space="preserve"> 和歌山県和歌山市西釘貫丁２－５３プレミール石川５０２</t>
        </is>
      </c>
      <c r="BB98" s="7"/>
      <c r="BC98" s="7"/>
      <c r="BD98" s="7"/>
    </row>
    <row r="99" customHeight="true" ht="33.0">
      <c r="A99" s="13" t="inlineStr">
        <is>
          <t>DIDA</t>
        </is>
      </c>
      <c r="B99" s="14"/>
      <c r="C99" s="15" t="inlineStr">
        <is>
          <t>365027493504</t>
        </is>
      </c>
      <c r="D99" s="15" t="inlineStr">
        <is>
          <t>365027493504</t>
        </is>
      </c>
      <c r="E99" s="7" t="n">
        <v>1.0</v>
      </c>
      <c r="F99" s="11" t="n">
        <v>1.5</v>
      </c>
      <c r="G99" s="7" t="inlineStr">
        <is>
          <t>KGM</t>
        </is>
      </c>
      <c r="H99" s="16" t="n">
        <f>UPPER(AX99)</f>
        <v>0.0</v>
      </c>
      <c r="I99" s="16" t="n">
        <f>UPPER(AY99)</f>
        <v>0.0</v>
      </c>
      <c r="J99" s="16" t="inlineStr">
        <is>
          <t>田野 宏一 [タノ ヒロカズ]</t>
        </is>
      </c>
      <c r="K99" s="25" t="n">
        <f>UPPER(J99)</f>
        <v>0.0</v>
      </c>
      <c r="L99" s="25"/>
      <c r="M99" s="26" t="n">
        <f>AU99&amp;AV99&amp;AW99&amp;BD99</f>
        <v>0.0</v>
      </c>
      <c r="N99" s="27" t="n">
        <f>UPPER(M99)</f>
        <v>0.0</v>
      </c>
      <c r="O99" s="28" t="n">
        <f>MID(N99,MIN(IFERROR(FIND({0,1,2,3,4,5,6,7,8,9},N99),LEN(N99)+1)),LEN(N99))</f>
        <v>0.0</v>
      </c>
      <c r="P99" s="28" t="n">
        <f>L99&amp;" "&amp;O99</f>
        <v>0.0</v>
      </c>
      <c r="Q99" s="27" t="inlineStr">
        <is>
          <t>339-0056</t>
        </is>
      </c>
      <c r="R99" s="30" t="inlineStr">
        <is>
          <t>090-5307-7518</t>
        </is>
      </c>
      <c r="S99" s="31" t="inlineStr">
        <is>
          <t xml:space="preserve">HUI ZHOU JING SHAN GONG MAO YOU XIAN GONG SI </t>
        </is>
      </c>
      <c r="T99" s="31" t="inlineStr">
        <is>
          <t>GUANG DONG SHENG HUI ZHOU SHI HUI CHENG QU QIAO DONG JIE DAO HUI ZHOU SHI HUI ZHOU DA DAO 108 HAO</t>
        </is>
      </c>
      <c r="U99" s="32" t="inlineStr">
        <is>
          <t>C&amp;F</t>
        </is>
      </c>
      <c r="V99" s="32" t="inlineStr">
        <is>
          <t>JPY</t>
        </is>
      </c>
      <c r="W99" s="33"/>
      <c r="X99" s="34" t="n">
        <f>INT(AZ99)</f>
        <v>0.0</v>
      </c>
      <c r="Y99" s="32" t="inlineStr">
        <is>
          <t>A</t>
        </is>
      </c>
      <c r="Z99" s="32" t="inlineStr">
        <is>
          <t>JPY</t>
        </is>
      </c>
      <c r="AA99" s="32"/>
      <c r="AB99" s="32" t="inlineStr">
        <is>
          <t>CN</t>
        </is>
      </c>
      <c r="AD99" s="27" t="inlineStr">
        <is>
          <t>田野 宏一 [タノ ヒロカズ]</t>
        </is>
      </c>
      <c r="AE99" s="7" t="n">
        <f>AU99&amp;AV99&amp;AW99&amp;BD99</f>
        <v>0.0</v>
      </c>
      <c r="AF99" s="7" t="inlineStr">
        <is>
          <t>090-5307-7518</t>
        </is>
      </c>
      <c r="AG99" s="7" t="inlineStr">
        <is>
          <t>339-0056</t>
        </is>
      </c>
      <c r="AH99" s="7" t="inlineStr">
        <is>
          <t>楽天-eightyone-H</t>
        </is>
      </c>
      <c r="AI99" s="7" t="n">
        <f>BB99&amp;BC99&amp;BA99</f>
        <v>0.0</v>
      </c>
      <c r="AJ99" s="7" t="inlineStr">
        <is>
          <t xml:space="preserve"> 036-161-6083</t>
        </is>
      </c>
      <c r="AK99" s="39" t="inlineStr">
        <is>
          <t>C</t>
        </is>
      </c>
      <c r="AL99" s="39" t="n">
        <v>1.0</v>
      </c>
      <c r="AM99" s="27" t="n">
        <f>IF(OR(ISNUMBER(SEARCH("amazon",AH99)),ISNUMBER(SEARCH("亚马逊",AH99))),"PUS001",IF(OR(ISNUMBER(SEARCH("rakuten",AH99)),ISNUMBER(SEARCH("楽天",AH99)),ISNUMBER(SEARCH("乐天",AH99))),"PJP001",IF(ISNUMBER(SEARCH("tik tok shop",AH99)),"PSG003",IF(ISNUMBER(SEARCH("temu",AH99)),"PSG001",IF(ISNUMBER(SEARCH("shein",AH99)),"JSG001",IF(OR(ISNUMBER(SEARCH("yahoo",AH99)),ISNUMBER(SEARCH("雅虎",AH99)),ISNUMBER(SEARCH("雅",AH99)),LEFT(UPPER(AH99),1)="Y"),"PJP005",IF(ISNUMBER(SEARCH("DDA JAPAN",AH99)),CHOOSE(RANDBETWEEN(1,3),"temu","PSG003","PSG001"),"JCNZZZ")))))))</f>
        <v>0.0</v>
      </c>
      <c r="AN99" s="7" t="n">
        <f>IF(ISNUMBER(SEARCH("JCNZZZ",AM99)),CHOOSE(RANDBETWEEN(1,4),"TAOBAO0","JinDdong","PingDduoDduo","ALIBABA"),"")</f>
        <v>0.0</v>
      </c>
      <c r="AU99" s="7" t="inlineStr">
        <is>
          <t>埼玉県</t>
        </is>
      </c>
      <c r="AV99" s="7" t="inlineStr">
        <is>
          <t>さいたま市岩槻区</t>
        </is>
      </c>
      <c r="AW99" s="7" t="inlineStr">
        <is>
          <t>加倉 4-12-3</t>
        </is>
      </c>
      <c r="AX99" s="7" t="inlineStr">
        <is>
          <t>pen box</t>
        </is>
      </c>
      <c r="AY99" s="7" t="inlineStr">
        <is>
          <t>ABS</t>
        </is>
      </c>
      <c r="AZ99" s="7" t="n">
        <v>13.5</v>
      </c>
      <c r="BA99" s="7" t="inlineStr">
        <is>
          <t xml:space="preserve"> 東京都品川区平塚1-13-1</t>
        </is>
      </c>
      <c r="BB99" s="7"/>
      <c r="BC99" s="7"/>
      <c r="BD99" s="7"/>
    </row>
    <row r="100" customHeight="true" ht="33.0">
      <c r="A100" s="13" t="inlineStr">
        <is>
          <t>DIDA</t>
        </is>
      </c>
      <c r="B100" s="14"/>
      <c r="C100" s="15" t="inlineStr">
        <is>
          <t>365027469914</t>
        </is>
      </c>
      <c r="D100" s="15" t="inlineStr">
        <is>
          <t>365027469914</t>
        </is>
      </c>
      <c r="E100" s="7" t="n">
        <v>1.0</v>
      </c>
      <c r="F100" s="11" t="n">
        <v>3.54</v>
      </c>
      <c r="G100" s="7" t="inlineStr">
        <is>
          <t>KGM</t>
        </is>
      </c>
      <c r="H100" s="16" t="n">
        <f>UPPER(AX100)</f>
        <v>0.0</v>
      </c>
      <c r="I100" s="16" t="n">
        <f>UPPER(AY100)</f>
        <v>0.0</v>
      </c>
      <c r="J100" s="16" t="inlineStr">
        <is>
          <t>安达翔</t>
        </is>
      </c>
      <c r="K100" s="25" t="n">
        <f>UPPER(J100)</f>
        <v>0.0</v>
      </c>
      <c r="L100" s="25"/>
      <c r="M100" s="26" t="n">
        <f>AU100&amp;AV100&amp;AW100&amp;BD100</f>
        <v>0.0</v>
      </c>
      <c r="N100" s="27" t="n">
        <f>UPPER(M100)</f>
        <v>0.0</v>
      </c>
      <c r="O100" s="28" t="n">
        <f>MID(N100,MIN(IFERROR(FIND({0,1,2,3,4,5,6,7,8,9},N100),LEN(N100)+1)),LEN(N100))</f>
        <v>0.0</v>
      </c>
      <c r="P100" s="28" t="n">
        <f>L100&amp;" "&amp;O100</f>
        <v>0.0</v>
      </c>
      <c r="Q100" s="27" t="inlineStr">
        <is>
          <t>350-1317</t>
        </is>
      </c>
      <c r="R100" s="30" t="inlineStr">
        <is>
          <t>08059682833</t>
        </is>
      </c>
      <c r="S100" s="31" t="inlineStr">
        <is>
          <t xml:space="preserve">HUI ZHOU JING SHAN GONG MAO YOU XIAN GONG SI </t>
        </is>
      </c>
      <c r="T100" s="31" t="inlineStr">
        <is>
          <t>GUANG DONG SHENG HUI ZHOU SHI HUI CHENG QU QIAO DONG JIE DAO HUI ZHOU SHI HUI ZHOU DA DAO 108 HAO</t>
        </is>
      </c>
      <c r="U100" s="32" t="inlineStr">
        <is>
          <t>C&amp;F</t>
        </is>
      </c>
      <c r="V100" s="32" t="inlineStr">
        <is>
          <t>JPY</t>
        </is>
      </c>
      <c r="W100" s="33"/>
      <c r="X100" s="34" t="n">
        <f>INT(AZ100)</f>
        <v>0.0</v>
      </c>
      <c r="Y100" s="32" t="inlineStr">
        <is>
          <t>A</t>
        </is>
      </c>
      <c r="Z100" s="32" t="inlineStr">
        <is>
          <t>JPY</t>
        </is>
      </c>
      <c r="AA100" s="32"/>
      <c r="AB100" s="32" t="inlineStr">
        <is>
          <t>CN</t>
        </is>
      </c>
      <c r="AD100" s="27" t="inlineStr">
        <is>
          <t>安达翔</t>
        </is>
      </c>
      <c r="AE100" s="7" t="n">
        <f>AU100&amp;AV100&amp;AW100&amp;BD100</f>
        <v>0.0</v>
      </c>
      <c r="AF100" s="7" t="inlineStr">
        <is>
          <t>08059682833</t>
        </is>
      </c>
      <c r="AG100" s="7" t="inlineStr">
        <is>
          <t>350-1317</t>
        </is>
      </c>
      <c r="AH100" s="7"/>
      <c r="AI100" s="7" t="n">
        <f>BB100&amp;BC100&amp;BA100</f>
        <v>0.0</v>
      </c>
      <c r="AJ100" s="7" t="inlineStr">
        <is>
          <t xml:space="preserve"> </t>
        </is>
      </c>
      <c r="AK100" s="39" t="inlineStr">
        <is>
          <t>C</t>
        </is>
      </c>
      <c r="AL100" s="39" t="n">
        <v>1.0</v>
      </c>
      <c r="AM100" s="27" t="n">
        <f>IF(OR(ISNUMBER(SEARCH("amazon",AH100)),ISNUMBER(SEARCH("亚马逊",AH100))),"PUS001",IF(OR(ISNUMBER(SEARCH("rakuten",AH100)),ISNUMBER(SEARCH("楽天",AH100)),ISNUMBER(SEARCH("乐天",AH100))),"PJP001",IF(ISNUMBER(SEARCH("tik tok shop",AH100)),"PSG003",IF(ISNUMBER(SEARCH("temu",AH100)),"PSG001",IF(ISNUMBER(SEARCH("shein",AH100)),"JSG001",IF(OR(ISNUMBER(SEARCH("yahoo",AH100)),ISNUMBER(SEARCH("雅虎",AH100)),ISNUMBER(SEARCH("雅",AH100)),LEFT(UPPER(AH100),1)="Y"),"PJP005",IF(ISNUMBER(SEARCH("DDA JAPAN",AH100)),CHOOSE(RANDBETWEEN(1,3),"temu","PSG003","PSG001"),"JCNZZZ")))))))</f>
        <v>0.0</v>
      </c>
      <c r="AN100" s="7" t="n">
        <f>IF(ISNUMBER(SEARCH("JCNZZZ",AM100)),CHOOSE(RANDBETWEEN(1,4),"TAOBAO0","JinDdong","PingDduoDduo","ALIBABA"),"")</f>
        <v>0.0</v>
      </c>
      <c r="AU100" s="7"/>
      <c r="AV100" s="7"/>
      <c r="AW100" s="7" t="inlineStr">
        <is>
          <t>埼玉県狭山市大字水野５０７－１</t>
        </is>
      </c>
      <c r="AX100" s="7" t="inlineStr">
        <is>
          <t>plastic toys</t>
        </is>
      </c>
      <c r="AY100" s="7" t="inlineStr">
        <is>
          <t>ABS</t>
        </is>
      </c>
      <c r="AZ100" s="7" t="n">
        <v>12.8</v>
      </c>
      <c r="BA100" s="7" t="inlineStr">
        <is>
          <t xml:space="preserve"> </t>
        </is>
      </c>
      <c r="BB100" s="7"/>
      <c r="BC100" s="7"/>
      <c r="BD100" s="7"/>
    </row>
    <row r="101" customHeight="true" ht="33.0">
      <c r="A101" s="13" t="inlineStr">
        <is>
          <t>DIDA</t>
        </is>
      </c>
      <c r="B101" s="14"/>
      <c r="C101" s="15" t="inlineStr">
        <is>
          <t>365027493714</t>
        </is>
      </c>
      <c r="D101" s="15" t="inlineStr">
        <is>
          <t>365027493714</t>
        </is>
      </c>
      <c r="E101" s="7" t="n">
        <v>1.0</v>
      </c>
      <c r="F101" s="11" t="n">
        <v>2.54</v>
      </c>
      <c r="G101" s="7" t="inlineStr">
        <is>
          <t>KGM</t>
        </is>
      </c>
      <c r="H101" s="16" t="n">
        <f>UPPER(AX101)</f>
        <v>0.0</v>
      </c>
      <c r="I101" s="16" t="n">
        <f>UPPER(AY101)</f>
        <v>0.0</v>
      </c>
      <c r="J101" s="16" t="inlineStr">
        <is>
          <t>山碕 諒介 [ヤマザキ リョウスケ]</t>
        </is>
      </c>
      <c r="K101" s="25" t="n">
        <f>UPPER(J101)</f>
        <v>0.0</v>
      </c>
      <c r="L101" s="25"/>
      <c r="M101" s="26" t="n">
        <f>AU101&amp;AV101&amp;AW101&amp;BD101</f>
        <v>0.0</v>
      </c>
      <c r="N101" s="27" t="n">
        <f>UPPER(M101)</f>
        <v>0.0</v>
      </c>
      <c r="O101" s="28" t="n">
        <f>MID(N101,MIN(IFERROR(FIND({0,1,2,3,4,5,6,7,8,9},N101),LEN(N101)+1)),LEN(N101))</f>
        <v>0.0</v>
      </c>
      <c r="P101" s="28" t="n">
        <f>L101&amp;" "&amp;O101</f>
        <v>0.0</v>
      </c>
      <c r="Q101" s="27" t="inlineStr">
        <is>
          <t>676-0011</t>
        </is>
      </c>
      <c r="R101" s="30" t="inlineStr">
        <is>
          <t>090-6911-8684</t>
        </is>
      </c>
      <c r="S101" s="31" t="inlineStr">
        <is>
          <t xml:space="preserve">HUI ZHOU JING SHAN GONG MAO YOU XIAN GONG SI </t>
        </is>
      </c>
      <c r="T101" s="31" t="inlineStr">
        <is>
          <t>GUANG DONG SHENG HUI ZHOU SHI HUI CHENG QU QIAO DONG JIE DAO HUI ZHOU SHI HUI ZHOU DA DAO 108 HAO</t>
        </is>
      </c>
      <c r="U101" s="32" t="inlineStr">
        <is>
          <t>C&amp;F</t>
        </is>
      </c>
      <c r="V101" s="32" t="inlineStr">
        <is>
          <t>JPY</t>
        </is>
      </c>
      <c r="W101" s="33"/>
      <c r="X101" s="34" t="n">
        <f>INT(AZ101)</f>
        <v>0.0</v>
      </c>
      <c r="Y101" s="32" t="inlineStr">
        <is>
          <t>A</t>
        </is>
      </c>
      <c r="Z101" s="32" t="inlineStr">
        <is>
          <t>JPY</t>
        </is>
      </c>
      <c r="AA101" s="32"/>
      <c r="AB101" s="32" t="inlineStr">
        <is>
          <t>CN</t>
        </is>
      </c>
      <c r="AD101" s="27" t="inlineStr">
        <is>
          <t>山碕 諒介 [ヤマザキ リョウスケ]</t>
        </is>
      </c>
      <c r="AE101" s="7" t="n">
        <f>AU101&amp;AV101&amp;AW101&amp;BD101</f>
        <v>0.0</v>
      </c>
      <c r="AF101" s="7" t="inlineStr">
        <is>
          <t>090-6911-8684</t>
        </is>
      </c>
      <c r="AG101" s="7" t="inlineStr">
        <is>
          <t>676-0011</t>
        </is>
      </c>
      <c r="AH101" s="7" t="inlineStr">
        <is>
          <t>楽天-kaneshiro</t>
        </is>
      </c>
      <c r="AI101" s="7" t="n">
        <f>BB101&amp;BC101&amp;BA101</f>
        <v>0.0</v>
      </c>
      <c r="AJ101" s="7" t="inlineStr">
        <is>
          <t xml:space="preserve"> 05030921748</t>
        </is>
      </c>
      <c r="AK101" s="39" t="inlineStr">
        <is>
          <t>C</t>
        </is>
      </c>
      <c r="AL101" s="39" t="n">
        <v>1.0</v>
      </c>
      <c r="AM101" s="27" t="n">
        <f>IF(OR(ISNUMBER(SEARCH("amazon",AH101)),ISNUMBER(SEARCH("亚马逊",AH101))),"PUS001",IF(OR(ISNUMBER(SEARCH("rakuten",AH101)),ISNUMBER(SEARCH("楽天",AH101)),ISNUMBER(SEARCH("乐天",AH101))),"PJP001",IF(ISNUMBER(SEARCH("tik tok shop",AH101)),"PSG003",IF(ISNUMBER(SEARCH("temu",AH101)),"PSG001",IF(ISNUMBER(SEARCH("shein",AH101)),"JSG001",IF(OR(ISNUMBER(SEARCH("yahoo",AH101)),ISNUMBER(SEARCH("雅虎",AH101)),ISNUMBER(SEARCH("雅",AH101)),LEFT(UPPER(AH101),1)="Y"),"PJP005",IF(ISNUMBER(SEARCH("DDA JAPAN",AH101)),CHOOSE(RANDBETWEEN(1,3),"temu","PSG003","PSG001"),"JCNZZZ")))))))</f>
        <v>0.0</v>
      </c>
      <c r="AN101" s="7" t="n">
        <f>IF(ISNUMBER(SEARCH("JCNZZZ",AM101)),CHOOSE(RANDBETWEEN(1,4),"TAOBAO0","JinDdong","PingDduoDduo","ALIBABA"),"")</f>
        <v>0.0</v>
      </c>
      <c r="AU101" s="7" t="inlineStr">
        <is>
          <t>兵庫県</t>
        </is>
      </c>
      <c r="AV101" s="7" t="inlineStr">
        <is>
          <t>高砂市</t>
        </is>
      </c>
      <c r="AW101" s="7" t="inlineStr">
        <is>
          <t>荒井町小松原3丁目13番10-5</t>
        </is>
      </c>
      <c r="AX101" s="7" t="inlineStr">
        <is>
          <t>Musical instrument toys</t>
        </is>
      </c>
      <c r="AY101" s="7" t="inlineStr">
        <is>
          <t>wood</t>
        </is>
      </c>
      <c r="AZ101" s="7" t="n">
        <v>13.0</v>
      </c>
      <c r="BA101" s="7" t="inlineStr">
        <is>
          <t xml:space="preserve"> 大阪府大阪市東住吉区住道矢田七丁目１０番１３号</t>
        </is>
      </c>
      <c r="BB101" s="7"/>
      <c r="BC101" s="7"/>
      <c r="BD101" s="7"/>
    </row>
    <row r="102" customHeight="true" ht="33.0">
      <c r="A102" s="13" t="inlineStr">
        <is>
          <t>DIDA</t>
        </is>
      </c>
      <c r="B102" s="14"/>
      <c r="C102" s="15" t="inlineStr">
        <is>
          <t>365027472176</t>
        </is>
      </c>
      <c r="D102" s="15" t="inlineStr">
        <is>
          <t>365027472176</t>
        </is>
      </c>
      <c r="E102" s="7" t="n">
        <v>1.0</v>
      </c>
      <c r="F102" s="11" t="n">
        <v>0.56</v>
      </c>
      <c r="G102" s="7" t="inlineStr">
        <is>
          <t>KGM</t>
        </is>
      </c>
      <c r="H102" s="16" t="n">
        <f>UPPER(AX102)</f>
        <v>0.0</v>
      </c>
      <c r="I102" s="16" t="n">
        <f>UPPER(AY102)</f>
        <v>0.0</v>
      </c>
      <c r="J102" s="16" t="inlineStr">
        <is>
          <t>藤原 励</t>
        </is>
      </c>
      <c r="K102" s="25" t="n">
        <f>UPPER(J102)</f>
        <v>0.0</v>
      </c>
      <c r="L102" s="25"/>
      <c r="M102" s="26" t="n">
        <f>AU102&amp;AV102&amp;AW102&amp;BD102</f>
        <v>0.0</v>
      </c>
      <c r="N102" s="27" t="n">
        <f>UPPER(M102)</f>
        <v>0.0</v>
      </c>
      <c r="O102" s="28" t="n">
        <f>MID(N102,MIN(IFERROR(FIND({0,1,2,3,4,5,6,7,8,9},N102),LEN(N102)+1)),LEN(N102))</f>
        <v>0.0</v>
      </c>
      <c r="P102" s="28" t="n">
        <f>L102&amp;" "&amp;O102</f>
        <v>0.0</v>
      </c>
      <c r="Q102" s="27" t="inlineStr">
        <is>
          <t>221-0854</t>
        </is>
      </c>
      <c r="R102" s="30" t="inlineStr">
        <is>
          <t>08031909562</t>
        </is>
      </c>
      <c r="S102" s="31" t="inlineStr">
        <is>
          <t xml:space="preserve">HUI ZHOU JING SHAN GONG MAO YOU XIAN GONG SI </t>
        </is>
      </c>
      <c r="T102" s="31" t="inlineStr">
        <is>
          <t>GUANG DONG SHENG HUI ZHOU SHI HUI CHENG QU QIAO DONG JIE DAO HUI ZHOU SHI HUI ZHOU DA DAO 108 HAO</t>
        </is>
      </c>
      <c r="U102" s="32" t="inlineStr">
        <is>
          <t>C&amp;F</t>
        </is>
      </c>
      <c r="V102" s="32" t="inlineStr">
        <is>
          <t>JPY</t>
        </is>
      </c>
      <c r="W102" s="33"/>
      <c r="X102" s="34" t="n">
        <f>INT(AZ102)</f>
        <v>0.0</v>
      </c>
      <c r="Y102" s="32" t="inlineStr">
        <is>
          <t>A</t>
        </is>
      </c>
      <c r="Z102" s="32" t="inlineStr">
        <is>
          <t>JPY</t>
        </is>
      </c>
      <c r="AA102" s="32"/>
      <c r="AB102" s="32" t="inlineStr">
        <is>
          <t>CN</t>
        </is>
      </c>
      <c r="AD102" s="27" t="inlineStr">
        <is>
          <t>藤原 励</t>
        </is>
      </c>
      <c r="AE102" s="7" t="n">
        <f>AU102&amp;AV102&amp;AW102&amp;BD102</f>
        <v>0.0</v>
      </c>
      <c r="AF102" s="7" t="inlineStr">
        <is>
          <t>08031909562</t>
        </is>
      </c>
      <c r="AG102" s="7" t="inlineStr">
        <is>
          <t>221-0854</t>
        </is>
      </c>
      <c r="AH102" s="7"/>
      <c r="AI102" s="7" t="n">
        <f>BB102&amp;BC102&amp;BA102</f>
        <v>0.0</v>
      </c>
      <c r="AJ102" s="7" t="inlineStr">
        <is>
          <t xml:space="preserve"> </t>
        </is>
      </c>
      <c r="AK102" s="39" t="inlineStr">
        <is>
          <t>C</t>
        </is>
      </c>
      <c r="AL102" s="39" t="n">
        <v>1.0</v>
      </c>
      <c r="AM102" s="27" t="n">
        <f>IF(OR(ISNUMBER(SEARCH("amazon",AH102)),ISNUMBER(SEARCH("亚马逊",AH102))),"PUS001",IF(OR(ISNUMBER(SEARCH("rakuten",AH102)),ISNUMBER(SEARCH("楽天",AH102)),ISNUMBER(SEARCH("乐天",AH102))),"PJP001",IF(ISNUMBER(SEARCH("tik tok shop",AH102)),"PSG003",IF(ISNUMBER(SEARCH("temu",AH102)),"PSG001",IF(ISNUMBER(SEARCH("shein",AH102)),"JSG001",IF(OR(ISNUMBER(SEARCH("yahoo",AH102)),ISNUMBER(SEARCH("雅虎",AH102)),ISNUMBER(SEARCH("雅",AH102)),LEFT(UPPER(AH102),1)="Y"),"PJP005",IF(ISNUMBER(SEARCH("DDA JAPAN",AH102)),CHOOSE(RANDBETWEEN(1,3),"temu","PSG003","PSG001"),"JCNZZZ")))))))</f>
        <v>0.0</v>
      </c>
      <c r="AN102" s="7" t="n">
        <f>IF(ISNUMBER(SEARCH("JCNZZZ",AM102)),CHOOSE(RANDBETWEEN(1,4),"TAOBAO0","JinDdong","PingDduoDduo","ALIBABA"),"")</f>
        <v>0.0</v>
      </c>
      <c r="AU102" s="7"/>
      <c r="AV102" s="7"/>
      <c r="AW102" s="7" t="inlineStr">
        <is>
          <t>神奈川県横浜市神奈川区三ツ沢南町17-13-106</t>
        </is>
      </c>
      <c r="AX102" s="7" t="inlineStr">
        <is>
          <t>plastic toys</t>
        </is>
      </c>
      <c r="AY102" s="7" t="inlineStr">
        <is>
          <t>ABS</t>
        </is>
      </c>
      <c r="AZ102" s="7" t="n">
        <v>13.5</v>
      </c>
      <c r="BA102" s="7" t="inlineStr">
        <is>
          <t xml:space="preserve"> </t>
        </is>
      </c>
      <c r="BB102" s="7"/>
      <c r="BC102" s="7"/>
      <c r="BD102" s="7"/>
    </row>
    <row r="103" customHeight="true" ht="33.0">
      <c r="A103" s="13" t="inlineStr">
        <is>
          <t>DIDA</t>
        </is>
      </c>
      <c r="B103" s="14"/>
      <c r="C103" s="15" t="inlineStr">
        <is>
          <t>365027472154</t>
        </is>
      </c>
      <c r="D103" s="15" t="inlineStr">
        <is>
          <t>365027472154</t>
        </is>
      </c>
      <c r="E103" s="7" t="n">
        <v>1.0</v>
      </c>
      <c r="F103" s="11" t="n">
        <v>3.63</v>
      </c>
      <c r="G103" s="7" t="inlineStr">
        <is>
          <t>KGM</t>
        </is>
      </c>
      <c r="H103" s="16" t="n">
        <f>UPPER(AX103)</f>
        <v>0.0</v>
      </c>
      <c r="I103" s="16" t="n">
        <f>UPPER(AY103)</f>
        <v>0.0</v>
      </c>
      <c r="J103" s="16" t="inlineStr">
        <is>
          <t>Ayako Uehara</t>
        </is>
      </c>
      <c r="K103" s="25" t="n">
        <f>UPPER(J103)</f>
        <v>0.0</v>
      </c>
      <c r="L103" s="25"/>
      <c r="M103" s="26" t="n">
        <f>AU103&amp;AV103&amp;AW103&amp;BD103</f>
        <v>0.0</v>
      </c>
      <c r="N103" s="27" t="n">
        <f>UPPER(M103)</f>
        <v>0.0</v>
      </c>
      <c r="O103" s="28" t="n">
        <f>MID(N103,MIN(IFERROR(FIND({0,1,2,3,4,5,6,7,8,9},N103),LEN(N103)+1)),LEN(N103))</f>
        <v>0.0</v>
      </c>
      <c r="P103" s="28" t="n">
        <f>L103&amp;" "&amp;O103</f>
        <v>0.0</v>
      </c>
      <c r="Q103" s="27" t="inlineStr">
        <is>
          <t>414-0051</t>
        </is>
      </c>
      <c r="R103" s="30" t="inlineStr">
        <is>
          <t>090-9175-9406</t>
        </is>
      </c>
      <c r="S103" s="31" t="inlineStr">
        <is>
          <t xml:space="preserve">HUI ZHOU JING SHAN GONG MAO YOU XIAN GONG SI </t>
        </is>
      </c>
      <c r="T103" s="31" t="inlineStr">
        <is>
          <t>GUANG DONG SHENG HUI ZHOU SHI HUI CHENG QU QIAO DONG JIE DAO HUI ZHOU SHI HUI ZHOU DA DAO 108 HAO</t>
        </is>
      </c>
      <c r="U103" s="32" t="inlineStr">
        <is>
          <t>C&amp;F</t>
        </is>
      </c>
      <c r="V103" s="32" t="inlineStr">
        <is>
          <t>JPY</t>
        </is>
      </c>
      <c r="W103" s="33"/>
      <c r="X103" s="34" t="n">
        <f>INT(AZ103)</f>
        <v>0.0</v>
      </c>
      <c r="Y103" s="32" t="inlineStr">
        <is>
          <t>A</t>
        </is>
      </c>
      <c r="Z103" s="32" t="inlineStr">
        <is>
          <t>JPY</t>
        </is>
      </c>
      <c r="AA103" s="32"/>
      <c r="AB103" s="32" t="inlineStr">
        <is>
          <t>CN</t>
        </is>
      </c>
      <c r="AD103" s="27" t="inlineStr">
        <is>
          <t>Ayako Uehara</t>
        </is>
      </c>
      <c r="AE103" s="7" t="n">
        <f>AU103&amp;AV103&amp;AW103&amp;BD103</f>
        <v>0.0</v>
      </c>
      <c r="AF103" s="7" t="inlineStr">
        <is>
          <t>090-9175-9406</t>
        </is>
      </c>
      <c r="AG103" s="7" t="inlineStr">
        <is>
          <t>414-0051</t>
        </is>
      </c>
      <c r="AH103" s="7"/>
      <c r="AI103" s="7" t="n">
        <f>BB103&amp;BC103&amp;BA103</f>
        <v>0.0</v>
      </c>
      <c r="AJ103" s="7" t="inlineStr">
        <is>
          <t xml:space="preserve"> </t>
        </is>
      </c>
      <c r="AK103" s="39" t="inlineStr">
        <is>
          <t>C</t>
        </is>
      </c>
      <c r="AL103" s="39" t="n">
        <v>1.0</v>
      </c>
      <c r="AM103" s="27" t="n">
        <f>IF(OR(ISNUMBER(SEARCH("amazon",AH103)),ISNUMBER(SEARCH("亚马逊",AH103))),"PUS001",IF(OR(ISNUMBER(SEARCH("rakuten",AH103)),ISNUMBER(SEARCH("楽天",AH103)),ISNUMBER(SEARCH("乐天",AH103))),"PJP001",IF(ISNUMBER(SEARCH("tik tok shop",AH103)),"PSG003",IF(ISNUMBER(SEARCH("temu",AH103)),"PSG001",IF(ISNUMBER(SEARCH("shein",AH103)),"JSG001",IF(OR(ISNUMBER(SEARCH("yahoo",AH103)),ISNUMBER(SEARCH("雅虎",AH103)),ISNUMBER(SEARCH("雅",AH103)),LEFT(UPPER(AH103),1)="Y"),"PJP005",IF(ISNUMBER(SEARCH("DDA JAPAN",AH103)),CHOOSE(RANDBETWEEN(1,3),"temu","PSG003","PSG001"),"JCNZZZ")))))))</f>
        <v>0.0</v>
      </c>
      <c r="AN103" s="7" t="n">
        <f>IF(ISNUMBER(SEARCH("JCNZZZ",AM103)),CHOOSE(RANDBETWEEN(1,4),"TAOBAO0","JinDdong","PingDduoDduo","ALIBABA"),"")</f>
        <v>0.0</v>
      </c>
      <c r="AU103" s="7"/>
      <c r="AV103" s="7"/>
      <c r="AW103" s="7" t="inlineStr">
        <is>
          <t>静岡県伊東市吉田79-5</t>
        </is>
      </c>
      <c r="AX103" s="7" t="inlineStr">
        <is>
          <t>plastic toys</t>
        </is>
      </c>
      <c r="AY103" s="7" t="inlineStr">
        <is>
          <t>ABS</t>
        </is>
      </c>
      <c r="AZ103" s="7" t="n">
        <v>12.8</v>
      </c>
      <c r="BA103" s="7" t="inlineStr">
        <is>
          <t xml:space="preserve"> </t>
        </is>
      </c>
      <c r="BB103" s="7"/>
      <c r="BC103" s="7"/>
      <c r="BD103" s="7"/>
    </row>
    <row r="104" customHeight="true" ht="33.0">
      <c r="A104" s="13" t="inlineStr">
        <is>
          <t>DIDA</t>
        </is>
      </c>
      <c r="B104" s="14"/>
      <c r="C104" s="15" t="inlineStr">
        <is>
          <t>365027493622</t>
        </is>
      </c>
      <c r="D104" s="15" t="inlineStr">
        <is>
          <t>365027493622</t>
        </is>
      </c>
      <c r="E104" s="7" t="n">
        <v>1.0</v>
      </c>
      <c r="F104" s="11" t="n">
        <v>1.79</v>
      </c>
      <c r="G104" s="7" t="inlineStr">
        <is>
          <t>KGM</t>
        </is>
      </c>
      <c r="H104" s="16" t="n">
        <f>UPPER(AX104)</f>
        <v>0.0</v>
      </c>
      <c r="I104" s="16" t="n">
        <f>UPPER(AY104)</f>
        <v>0.0</v>
      </c>
      <c r="J104" s="16" t="inlineStr">
        <is>
          <t>日紫喜 隆 [ヒシキ タカシ]</t>
        </is>
      </c>
      <c r="K104" s="25" t="n">
        <f>UPPER(J104)</f>
        <v>0.0</v>
      </c>
      <c r="L104" s="25"/>
      <c r="M104" s="26" t="n">
        <f>AU104&amp;AV104&amp;AW104&amp;BD104</f>
        <v>0.0</v>
      </c>
      <c r="N104" s="27" t="n">
        <f>UPPER(M104)</f>
        <v>0.0</v>
      </c>
      <c r="O104" s="28" t="n">
        <f>MID(N104,MIN(IFERROR(FIND({0,1,2,3,4,5,6,7,8,9},N104),LEN(N104)+1)),LEN(N104))</f>
        <v>0.0</v>
      </c>
      <c r="P104" s="28" t="n">
        <f>L104&amp;" "&amp;O104</f>
        <v>0.0</v>
      </c>
      <c r="Q104" s="27" t="inlineStr">
        <is>
          <t>565-0831</t>
        </is>
      </c>
      <c r="R104" s="30" t="inlineStr">
        <is>
          <t>090-3844-5119</t>
        </is>
      </c>
      <c r="S104" s="31" t="inlineStr">
        <is>
          <t xml:space="preserve">HUI ZHOU JING SHAN GONG MAO YOU XIAN GONG SI </t>
        </is>
      </c>
      <c r="T104" s="31" t="inlineStr">
        <is>
          <t>GUANG DONG SHENG HUI ZHOU SHI HUI CHENG QU QIAO DONG JIE DAO HUI ZHOU SHI HUI ZHOU DA DAO 108 HAO</t>
        </is>
      </c>
      <c r="U104" s="32" t="inlineStr">
        <is>
          <t>C&amp;F</t>
        </is>
      </c>
      <c r="V104" s="32" t="inlineStr">
        <is>
          <t>JPY</t>
        </is>
      </c>
      <c r="W104" s="33"/>
      <c r="X104" s="34" t="n">
        <f>INT(AZ104)</f>
        <v>0.0</v>
      </c>
      <c r="Y104" s="32" t="inlineStr">
        <is>
          <t>A</t>
        </is>
      </c>
      <c r="Z104" s="32" t="inlineStr">
        <is>
          <t>JPY</t>
        </is>
      </c>
      <c r="AA104" s="32"/>
      <c r="AB104" s="32" t="inlineStr">
        <is>
          <t>CN</t>
        </is>
      </c>
      <c r="AD104" s="27" t="inlineStr">
        <is>
          <t>日紫喜 隆 [ヒシキ タカシ]</t>
        </is>
      </c>
      <c r="AE104" s="7" t="n">
        <f>AU104&amp;AV104&amp;AW104&amp;BD104</f>
        <v>0.0</v>
      </c>
      <c r="AF104" s="7" t="inlineStr">
        <is>
          <t>090-3844-5119</t>
        </is>
      </c>
      <c r="AG104" s="7" t="inlineStr">
        <is>
          <t>565-0831</t>
        </is>
      </c>
      <c r="AH104" s="7" t="inlineStr">
        <is>
          <t>楽天-Rumay-D</t>
        </is>
      </c>
      <c r="AI104" s="7" t="n">
        <f>BB104&amp;BC104&amp;BA104</f>
        <v>0.0</v>
      </c>
      <c r="AJ104" s="7" t="inlineStr">
        <is>
          <t xml:space="preserve"> 072-703-4761</t>
        </is>
      </c>
      <c r="AK104" s="39" t="inlineStr">
        <is>
          <t>C</t>
        </is>
      </c>
      <c r="AL104" s="39" t="n">
        <v>1.0</v>
      </c>
      <c r="AM104" s="27" t="n">
        <f>IF(OR(ISNUMBER(SEARCH("amazon",AH104)),ISNUMBER(SEARCH("亚马逊",AH104))),"PUS001",IF(OR(ISNUMBER(SEARCH("rakuten",AH104)),ISNUMBER(SEARCH("楽天",AH104)),ISNUMBER(SEARCH("乐天",AH104))),"PJP001",IF(ISNUMBER(SEARCH("tik tok shop",AH104)),"PSG003",IF(ISNUMBER(SEARCH("temu",AH104)),"PSG001",IF(ISNUMBER(SEARCH("shein",AH104)),"JSG001",IF(OR(ISNUMBER(SEARCH("yahoo",AH104)),ISNUMBER(SEARCH("雅虎",AH104)),ISNUMBER(SEARCH("雅",AH104)),LEFT(UPPER(AH104),1)="Y"),"PJP005",IF(ISNUMBER(SEARCH("DDA JAPAN",AH104)),CHOOSE(RANDBETWEEN(1,3),"temu","PSG003","PSG001"),"JCNZZZ")))))))</f>
        <v>0.0</v>
      </c>
      <c r="AN104" s="7" t="n">
        <f>IF(ISNUMBER(SEARCH("JCNZZZ",AM104)),CHOOSE(RANDBETWEEN(1,4),"TAOBAO0","JinDdong","PingDduoDduo","ALIBABA"),"")</f>
        <v>0.0</v>
      </c>
      <c r="AU104" s="7" t="inlineStr">
        <is>
          <t>大阪府</t>
        </is>
      </c>
      <c r="AV104" s="7" t="inlineStr">
        <is>
          <t>吹田市</t>
        </is>
      </c>
      <c r="AW104" s="7" t="inlineStr">
        <is>
          <t>五月が丘東6-B-1307</t>
        </is>
      </c>
      <c r="AX104" s="7" t="inlineStr">
        <is>
          <t>Binoculars</t>
        </is>
      </c>
      <c r="AY104" s="7" t="inlineStr">
        <is>
          <t>ABS</t>
        </is>
      </c>
      <c r="AZ104" s="7" t="n">
        <v>10.6</v>
      </c>
      <c r="BA104" s="7" t="inlineStr">
        <is>
          <t xml:space="preserve"> 中央区内本町2‐3‐8　ダイアパレスビル本町 1006ミズイシテクノロジー</t>
        </is>
      </c>
      <c r="BB104" s="7"/>
      <c r="BC104" s="7"/>
      <c r="BD104" s="7"/>
    </row>
    <row r="105" customHeight="true" ht="33.0">
      <c r="A105" s="13" t="inlineStr">
        <is>
          <t>DIDA</t>
        </is>
      </c>
      <c r="B105" s="14"/>
      <c r="C105" s="15" t="inlineStr">
        <is>
          <t>365027493202</t>
        </is>
      </c>
      <c r="D105" s="15" t="inlineStr">
        <is>
          <t>365027493202</t>
        </is>
      </c>
      <c r="E105" s="7" t="n">
        <v>1.0</v>
      </c>
      <c r="F105" s="11" t="n">
        <v>1.6</v>
      </c>
      <c r="G105" s="7" t="inlineStr">
        <is>
          <t>KGM</t>
        </is>
      </c>
      <c r="H105" s="16" t="n">
        <f>UPPER(AX105)</f>
        <v>0.0</v>
      </c>
      <c r="I105" s="16" t="n">
        <f>UPPER(AY105)</f>
        <v>0.0</v>
      </c>
      <c r="J105" s="16" t="inlineStr">
        <is>
          <t>とし内科 田中稔之 [トシナイカ タナカトシユキ]</t>
        </is>
      </c>
      <c r="K105" s="25" t="n">
        <f>UPPER(J105)</f>
        <v>0.0</v>
      </c>
      <c r="L105" s="25"/>
      <c r="M105" s="26" t="n">
        <f>AU105&amp;AV105&amp;AW105&amp;BD105</f>
        <v>0.0</v>
      </c>
      <c r="N105" s="27" t="n">
        <f>UPPER(M105)</f>
        <v>0.0</v>
      </c>
      <c r="O105" s="28" t="n">
        <f>MID(N105,MIN(IFERROR(FIND({0,1,2,3,4,5,6,7,8,9},N105),LEN(N105)+1)),LEN(N105))</f>
        <v>0.0</v>
      </c>
      <c r="P105" s="28" t="n">
        <f>L105&amp;" "&amp;O105</f>
        <v>0.0</v>
      </c>
      <c r="Q105" s="27" t="inlineStr">
        <is>
          <t>671-1523</t>
        </is>
      </c>
      <c r="R105" s="30" t="inlineStr">
        <is>
          <t>080-6103-5739</t>
        </is>
      </c>
      <c r="S105" s="31" t="inlineStr">
        <is>
          <t xml:space="preserve">HUI ZHOU JING SHAN GONG MAO YOU XIAN GONG SI </t>
        </is>
      </c>
      <c r="T105" s="31" t="inlineStr">
        <is>
          <t>GUANG DONG SHENG HUI ZHOU SHI HUI CHENG QU QIAO DONG JIE DAO HUI ZHOU SHI HUI ZHOU DA DAO 108 HAO</t>
        </is>
      </c>
      <c r="U105" s="32" t="inlineStr">
        <is>
          <t>C&amp;F</t>
        </is>
      </c>
      <c r="V105" s="32" t="inlineStr">
        <is>
          <t>JPY</t>
        </is>
      </c>
      <c r="W105" s="33"/>
      <c r="X105" s="34" t="n">
        <f>INT(AZ105)</f>
        <v>0.0</v>
      </c>
      <c r="Y105" s="32" t="inlineStr">
        <is>
          <t>A</t>
        </is>
      </c>
      <c r="Z105" s="32" t="inlineStr">
        <is>
          <t>JPY</t>
        </is>
      </c>
      <c r="AA105" s="32"/>
      <c r="AB105" s="32" t="inlineStr">
        <is>
          <t>CN</t>
        </is>
      </c>
      <c r="AD105" s="27" t="inlineStr">
        <is>
          <t>とし内科 田中稔之 [トシナイカ タナカトシユキ]</t>
        </is>
      </c>
      <c r="AE105" s="7" t="n">
        <f>AU105&amp;AV105&amp;AW105&amp;BD105</f>
        <v>0.0</v>
      </c>
      <c r="AF105" s="7" t="inlineStr">
        <is>
          <t>080-6103-5739</t>
        </is>
      </c>
      <c r="AG105" s="7" t="inlineStr">
        <is>
          <t>671-1523</t>
        </is>
      </c>
      <c r="AH105" s="7" t="inlineStr">
        <is>
          <t>楽天-sepco</t>
        </is>
      </c>
      <c r="AI105" s="7" t="n">
        <f>BB105&amp;BC105&amp;BA105</f>
        <v>0.0</v>
      </c>
      <c r="AJ105" s="7" t="inlineStr">
        <is>
          <t xml:space="preserve"> 070-5589-7493</t>
        </is>
      </c>
      <c r="AK105" s="39" t="inlineStr">
        <is>
          <t>C</t>
        </is>
      </c>
      <c r="AL105" s="39" t="n">
        <v>1.0</v>
      </c>
      <c r="AM105" s="27" t="n">
        <f>IF(OR(ISNUMBER(SEARCH("amazon",AH105)),ISNUMBER(SEARCH("亚马逊",AH105))),"PUS001",IF(OR(ISNUMBER(SEARCH("rakuten",AH105)),ISNUMBER(SEARCH("楽天",AH105)),ISNUMBER(SEARCH("乐天",AH105))),"PJP001",IF(ISNUMBER(SEARCH("tik tok shop",AH105)),"PSG003",IF(ISNUMBER(SEARCH("temu",AH105)),"PSG001",IF(ISNUMBER(SEARCH("shein",AH105)),"JSG001",IF(OR(ISNUMBER(SEARCH("yahoo",AH105)),ISNUMBER(SEARCH("雅虎",AH105)),ISNUMBER(SEARCH("雅",AH105)),LEFT(UPPER(AH105),1)="Y"),"PJP005",IF(ISNUMBER(SEARCH("DDA JAPAN",AH105)),CHOOSE(RANDBETWEEN(1,3),"temu","PSG003","PSG001"),"JCNZZZ")))))))</f>
        <v>0.0</v>
      </c>
      <c r="AN105" s="7" t="n">
        <f>IF(ISNUMBER(SEARCH("JCNZZZ",AM105)),CHOOSE(RANDBETWEEN(1,4),"TAOBAO0","JinDdong","PingDduoDduo","ALIBABA"),"")</f>
        <v>0.0</v>
      </c>
      <c r="AU105" s="7" t="inlineStr">
        <is>
          <t>兵庫県</t>
        </is>
      </c>
      <c r="AV105" s="7" t="inlineStr">
        <is>
          <t>揖保郡太子町</t>
        </is>
      </c>
      <c r="AW105" s="7" t="inlineStr">
        <is>
          <t>東南344-6</t>
        </is>
      </c>
      <c r="AX105" s="7" t="inlineStr">
        <is>
          <t>Detector</t>
        </is>
      </c>
      <c r="AY105" s="7" t="inlineStr">
        <is>
          <t>ABS</t>
        </is>
      </c>
      <c r="AZ105" s="7" t="n">
        <v>17.19</v>
      </c>
      <c r="BA105" s="7" t="inlineStr">
        <is>
          <t xml:space="preserve"> 中区大手町1-1-26-305大手町一番ビル</t>
        </is>
      </c>
      <c r="BB105" s="7"/>
      <c r="BC105" s="7"/>
      <c r="BD105" s="7"/>
    </row>
    <row r="106" customHeight="true" ht="33.0">
      <c r="A106" s="13" t="inlineStr">
        <is>
          <t>DIDA</t>
        </is>
      </c>
      <c r="B106" s="14"/>
      <c r="C106" s="15" t="inlineStr">
        <is>
          <t>365027492944</t>
        </is>
      </c>
      <c r="D106" s="15" t="inlineStr">
        <is>
          <t>365027492944</t>
        </is>
      </c>
      <c r="E106" s="7" t="n">
        <v>1.0</v>
      </c>
      <c r="F106" s="11" t="n">
        <v>0.29</v>
      </c>
      <c r="G106" s="7" t="inlineStr">
        <is>
          <t>KGM</t>
        </is>
      </c>
      <c r="H106" s="16" t="n">
        <f>UPPER(AX106)</f>
        <v>0.0</v>
      </c>
      <c r="I106" s="16" t="n">
        <f>UPPER(AY106)</f>
        <v>0.0</v>
      </c>
      <c r="J106" s="16" t="inlineStr">
        <is>
          <t>本間 美穂 [ホンマ ミホ]</t>
        </is>
      </c>
      <c r="K106" s="25" t="n">
        <f>UPPER(J106)</f>
        <v>0.0</v>
      </c>
      <c r="L106" s="25"/>
      <c r="M106" s="26" t="n">
        <f>AU106&amp;AV106&amp;AW106&amp;BD106</f>
        <v>0.0</v>
      </c>
      <c r="N106" s="27" t="n">
        <f>UPPER(M106)</f>
        <v>0.0</v>
      </c>
      <c r="O106" s="28" t="n">
        <f>MID(N106,MIN(IFERROR(FIND({0,1,2,3,4,5,6,7,8,9},N106),LEN(N106)+1)),LEN(N106))</f>
        <v>0.0</v>
      </c>
      <c r="P106" s="28" t="n">
        <f>L106&amp;" "&amp;O106</f>
        <v>0.0</v>
      </c>
      <c r="Q106" s="27" t="inlineStr">
        <is>
          <t>085-0065</t>
        </is>
      </c>
      <c r="R106" s="30" t="inlineStr">
        <is>
          <t>090-2600-2397</t>
        </is>
      </c>
      <c r="S106" s="31" t="inlineStr">
        <is>
          <t xml:space="preserve">HUI ZHOU JING SHAN GONG MAO YOU XIAN GONG SI </t>
        </is>
      </c>
      <c r="T106" s="31" t="inlineStr">
        <is>
          <t>GUANG DONG SHENG HUI ZHOU SHI HUI CHENG QU QIAO DONG JIE DAO HUI ZHOU SHI HUI ZHOU DA DAO 108 HAO</t>
        </is>
      </c>
      <c r="U106" s="32" t="inlineStr">
        <is>
          <t>C&amp;F</t>
        </is>
      </c>
      <c r="V106" s="32" t="inlineStr">
        <is>
          <t>JPY</t>
        </is>
      </c>
      <c r="W106" s="33"/>
      <c r="X106" s="34" t="n">
        <f>INT(AZ106)</f>
        <v>0.0</v>
      </c>
      <c r="Y106" s="32" t="inlineStr">
        <is>
          <t>A</t>
        </is>
      </c>
      <c r="Z106" s="32" t="inlineStr">
        <is>
          <t>JPY</t>
        </is>
      </c>
      <c r="AA106" s="32"/>
      <c r="AB106" s="32" t="inlineStr">
        <is>
          <t>CN</t>
        </is>
      </c>
      <c r="AD106" s="27" t="inlineStr">
        <is>
          <t>本間 美穂 [ホンマ ミホ]</t>
        </is>
      </c>
      <c r="AE106" s="7" t="n">
        <f>AU106&amp;AV106&amp;AW106&amp;BD106</f>
        <v>0.0</v>
      </c>
      <c r="AF106" s="7" t="inlineStr">
        <is>
          <t>090-2600-2397</t>
        </is>
      </c>
      <c r="AG106" s="7" t="inlineStr">
        <is>
          <t>085-0065</t>
        </is>
      </c>
      <c r="AH106" s="7" t="inlineStr">
        <is>
          <t>楽天-KAMCITY-L</t>
        </is>
      </c>
      <c r="AI106" s="7" t="n">
        <f>BB106&amp;BC106&amp;BA106</f>
        <v>0.0</v>
      </c>
      <c r="AJ106" s="7" t="inlineStr">
        <is>
          <t xml:space="preserve"> 070-1432-7896</t>
        </is>
      </c>
      <c r="AK106" s="39" t="inlineStr">
        <is>
          <t>C</t>
        </is>
      </c>
      <c r="AL106" s="39" t="n">
        <v>1.0</v>
      </c>
      <c r="AM106" s="27" t="n">
        <f>IF(OR(ISNUMBER(SEARCH("amazon",AH106)),ISNUMBER(SEARCH("亚马逊",AH106))),"PUS001",IF(OR(ISNUMBER(SEARCH("rakuten",AH106)),ISNUMBER(SEARCH("楽天",AH106)),ISNUMBER(SEARCH("乐天",AH106))),"PJP001",IF(ISNUMBER(SEARCH("tik tok shop",AH106)),"PSG003",IF(ISNUMBER(SEARCH("temu",AH106)),"PSG001",IF(ISNUMBER(SEARCH("shein",AH106)),"JSG001",IF(OR(ISNUMBER(SEARCH("yahoo",AH106)),ISNUMBER(SEARCH("雅虎",AH106)),ISNUMBER(SEARCH("雅",AH106)),LEFT(UPPER(AH106),1)="Y"),"PJP005",IF(ISNUMBER(SEARCH("DDA JAPAN",AH106)),CHOOSE(RANDBETWEEN(1,3),"temu","PSG003","PSG001"),"JCNZZZ")))))))</f>
        <v>0.0</v>
      </c>
      <c r="AN106" s="7" t="n">
        <f>IF(ISNUMBER(SEARCH("JCNZZZ",AM106)),CHOOSE(RANDBETWEEN(1,4),"TAOBAO0","JinDdong","PingDduoDduo","ALIBABA"),"")</f>
        <v>0.0</v>
      </c>
      <c r="AU106" s="7" t="inlineStr">
        <is>
          <t>北海道</t>
        </is>
      </c>
      <c r="AV106" s="7" t="inlineStr">
        <is>
          <t>釧路市</t>
        </is>
      </c>
      <c r="AW106" s="7" t="inlineStr">
        <is>
          <t>美原四丁目5-18 美原四丁目宿舎 102号室</t>
        </is>
      </c>
      <c r="AX106" s="7" t="inlineStr">
        <is>
          <t>Fever scarf</t>
        </is>
      </c>
      <c r="AY106" s="7" t="inlineStr">
        <is>
          <t>PU</t>
        </is>
      </c>
      <c r="AZ106" s="7" t="n">
        <v>15.7</v>
      </c>
      <c r="BA106" s="7" t="inlineStr">
        <is>
          <t xml:space="preserve"> 内本町2‐3‐8</t>
        </is>
      </c>
      <c r="BB106" s="7"/>
      <c r="BC106" s="7"/>
      <c r="BD106" s="7"/>
    </row>
    <row r="107" customHeight="true" ht="33.0">
      <c r="A107" s="13" t="inlineStr">
        <is>
          <t>DIDA</t>
        </is>
      </c>
      <c r="B107" s="14"/>
      <c r="C107" s="15" t="inlineStr">
        <is>
          <t>365027493224</t>
        </is>
      </c>
      <c r="D107" s="15" t="inlineStr">
        <is>
          <t>365027493224</t>
        </is>
      </c>
      <c r="E107" s="7" t="n">
        <v>1.0</v>
      </c>
      <c r="F107" s="11" t="n">
        <v>0.84</v>
      </c>
      <c r="G107" s="7" t="inlineStr">
        <is>
          <t>KGM</t>
        </is>
      </c>
      <c r="H107" s="16" t="n">
        <f>UPPER(AX107)</f>
        <v>0.0</v>
      </c>
      <c r="I107" s="16" t="n">
        <f>UPPER(AY107)</f>
        <v>0.0</v>
      </c>
      <c r="J107" s="16" t="inlineStr">
        <is>
          <t>エルファースト株式会社 石田剛大 [エルファースト イシダタカオ]</t>
        </is>
      </c>
      <c r="K107" s="25" t="n">
        <f>UPPER(J107)</f>
        <v>0.0</v>
      </c>
      <c r="L107" s="25"/>
      <c r="M107" s="26" t="n">
        <f>AU107&amp;AV107&amp;AW107&amp;BD107</f>
        <v>0.0</v>
      </c>
      <c r="N107" s="27" t="n">
        <f>UPPER(M107)</f>
        <v>0.0</v>
      </c>
      <c r="O107" s="28" t="n">
        <f>MID(N107,MIN(IFERROR(FIND({0,1,2,3,4,5,6,7,8,9},N107),LEN(N107)+1)),LEN(N107))</f>
        <v>0.0</v>
      </c>
      <c r="P107" s="28" t="n">
        <f>L107&amp;" "&amp;O107</f>
        <v>0.0</v>
      </c>
      <c r="Q107" s="27" t="inlineStr">
        <is>
          <t>372-0014</t>
        </is>
      </c>
      <c r="R107" s="30" t="inlineStr">
        <is>
          <t>070-9075-0358</t>
        </is>
      </c>
      <c r="S107" s="31" t="inlineStr">
        <is>
          <t xml:space="preserve">HUI ZHOU JING SHAN GONG MAO YOU XIAN GONG SI </t>
        </is>
      </c>
      <c r="T107" s="31" t="inlineStr">
        <is>
          <t>GUANG DONG SHENG HUI ZHOU SHI HUI CHENG QU QIAO DONG JIE DAO HUI ZHOU SHI HUI ZHOU DA DAO 108 HAO</t>
        </is>
      </c>
      <c r="U107" s="32" t="inlineStr">
        <is>
          <t>C&amp;F</t>
        </is>
      </c>
      <c r="V107" s="32" t="inlineStr">
        <is>
          <t>JPY</t>
        </is>
      </c>
      <c r="W107" s="33"/>
      <c r="X107" s="34" t="n">
        <f>INT(AZ107)</f>
        <v>0.0</v>
      </c>
      <c r="Y107" s="32" t="inlineStr">
        <is>
          <t>A</t>
        </is>
      </c>
      <c r="Z107" s="32" t="inlineStr">
        <is>
          <t>JPY</t>
        </is>
      </c>
      <c r="AA107" s="32"/>
      <c r="AB107" s="32" t="inlineStr">
        <is>
          <t>CN</t>
        </is>
      </c>
      <c r="AD107" s="27" t="inlineStr">
        <is>
          <t>エルファースト株式会社 石田剛大 [エルファースト イシダタカオ]</t>
        </is>
      </c>
      <c r="AE107" s="7" t="n">
        <f>AU107&amp;AV107&amp;AW107&amp;BD107</f>
        <v>0.0</v>
      </c>
      <c r="AF107" s="7" t="inlineStr">
        <is>
          <t>070-9075-0358</t>
        </is>
      </c>
      <c r="AG107" s="7" t="inlineStr">
        <is>
          <t>372-0014</t>
        </is>
      </c>
      <c r="AH107" s="7" t="inlineStr">
        <is>
          <t>楽天-eightyone-H</t>
        </is>
      </c>
      <c r="AI107" s="7" t="n">
        <f>BB107&amp;BC107&amp;BA107</f>
        <v>0.0</v>
      </c>
      <c r="AJ107" s="7" t="inlineStr">
        <is>
          <t xml:space="preserve"> 036-161-6083</t>
        </is>
      </c>
      <c r="AK107" s="39" t="inlineStr">
        <is>
          <t>C</t>
        </is>
      </c>
      <c r="AL107" s="39" t="n">
        <v>1.0</v>
      </c>
      <c r="AM107" s="27" t="n">
        <f>IF(OR(ISNUMBER(SEARCH("amazon",AH107)),ISNUMBER(SEARCH("亚马逊",AH107))),"PUS001",IF(OR(ISNUMBER(SEARCH("rakuten",AH107)),ISNUMBER(SEARCH("楽天",AH107)),ISNUMBER(SEARCH("乐天",AH107))),"PJP001",IF(ISNUMBER(SEARCH("tik tok shop",AH107)),"PSG003",IF(ISNUMBER(SEARCH("temu",AH107)),"PSG001",IF(ISNUMBER(SEARCH("shein",AH107)),"JSG001",IF(OR(ISNUMBER(SEARCH("yahoo",AH107)),ISNUMBER(SEARCH("雅虎",AH107)),ISNUMBER(SEARCH("雅",AH107)),LEFT(UPPER(AH107),1)="Y"),"PJP005",IF(ISNUMBER(SEARCH("DDA JAPAN",AH107)),CHOOSE(RANDBETWEEN(1,3),"temu","PSG003","PSG001"),"JCNZZZ")))))))</f>
        <v>0.0</v>
      </c>
      <c r="AN107" s="7" t="n">
        <f>IF(ISNUMBER(SEARCH("JCNZZZ",AM107)),CHOOSE(RANDBETWEEN(1,4),"TAOBAO0","JinDdong","PingDduoDduo","ALIBABA"),"")</f>
        <v>0.0</v>
      </c>
      <c r="AU107" s="7" t="inlineStr">
        <is>
          <t>群馬県</t>
        </is>
      </c>
      <c r="AV107" s="7" t="inlineStr">
        <is>
          <t>伊勢崎市</t>
        </is>
      </c>
      <c r="AW107" s="7" t="inlineStr">
        <is>
          <t>昭和町1689-4</t>
        </is>
      </c>
      <c r="AX107" s="7" t="inlineStr">
        <is>
          <t>Plastic toys</t>
        </is>
      </c>
      <c r="AY107" s="7" t="inlineStr">
        <is>
          <t>ABS</t>
        </is>
      </c>
      <c r="AZ107" s="7" t="n">
        <v>16.8</v>
      </c>
      <c r="BA107" s="7" t="inlineStr">
        <is>
          <t xml:space="preserve"> 東京都品川区平塚1-13-1</t>
        </is>
      </c>
      <c r="BB107" s="7"/>
      <c r="BC107" s="7"/>
      <c r="BD107" s="7"/>
    </row>
    <row r="108" customHeight="true" ht="33.0">
      <c r="A108" s="13" t="inlineStr">
        <is>
          <t>DIDA</t>
        </is>
      </c>
      <c r="B108" s="14"/>
      <c r="C108" s="15" t="inlineStr">
        <is>
          <t>365027493703</t>
        </is>
      </c>
      <c r="D108" s="15" t="inlineStr">
        <is>
          <t>365027493703</t>
        </is>
      </c>
      <c r="E108" s="7" t="n">
        <v>1.0</v>
      </c>
      <c r="F108" s="11" t="n">
        <v>0.58</v>
      </c>
      <c r="G108" s="7" t="inlineStr">
        <is>
          <t>KGM</t>
        </is>
      </c>
      <c r="H108" s="16" t="n">
        <f>UPPER(AX108)</f>
        <v>0.0</v>
      </c>
      <c r="I108" s="16" t="n">
        <f>UPPER(AY108)</f>
        <v>0.0</v>
      </c>
      <c r="J108" s="16" t="inlineStr">
        <is>
          <t>神谷 友梨 [カミヤ ユリ]</t>
        </is>
      </c>
      <c r="K108" s="25" t="n">
        <f>UPPER(J108)</f>
        <v>0.0</v>
      </c>
      <c r="L108" s="25"/>
      <c r="M108" s="26" t="n">
        <f>AU108&amp;AV108&amp;AW108&amp;BD108</f>
        <v>0.0</v>
      </c>
      <c r="N108" s="27" t="n">
        <f>UPPER(M108)</f>
        <v>0.0</v>
      </c>
      <c r="O108" s="28" t="n">
        <f>MID(N108,MIN(IFERROR(FIND({0,1,2,3,4,5,6,7,8,9},N108),LEN(N108)+1)),LEN(N108))</f>
        <v>0.0</v>
      </c>
      <c r="P108" s="28" t="n">
        <f>L108&amp;" "&amp;O108</f>
        <v>0.0</v>
      </c>
      <c r="Q108" s="27" t="inlineStr">
        <is>
          <t>450-0003</t>
        </is>
      </c>
      <c r="R108" s="30" t="inlineStr">
        <is>
          <t>080-4548-8848</t>
        </is>
      </c>
      <c r="S108" s="31" t="inlineStr">
        <is>
          <t xml:space="preserve">HUI ZHOU JING SHAN GONG MAO YOU XIAN GONG SI </t>
        </is>
      </c>
      <c r="T108" s="31" t="inlineStr">
        <is>
          <t>GUANG DONG SHENG HUI ZHOU SHI HUI CHENG QU QIAO DONG JIE DAO HUI ZHOU SHI HUI ZHOU DA DAO 108 HAO</t>
        </is>
      </c>
      <c r="U108" s="32" t="inlineStr">
        <is>
          <t>C&amp;F</t>
        </is>
      </c>
      <c r="V108" s="32" t="inlineStr">
        <is>
          <t>JPY</t>
        </is>
      </c>
      <c r="W108" s="33"/>
      <c r="X108" s="34" t="n">
        <f>INT(AZ108)</f>
        <v>0.0</v>
      </c>
      <c r="Y108" s="32" t="inlineStr">
        <is>
          <t>A</t>
        </is>
      </c>
      <c r="Z108" s="32" t="inlineStr">
        <is>
          <t>JPY</t>
        </is>
      </c>
      <c r="AA108" s="32"/>
      <c r="AB108" s="32" t="inlineStr">
        <is>
          <t>CN</t>
        </is>
      </c>
      <c r="AD108" s="27" t="inlineStr">
        <is>
          <t>神谷 友梨 [カミヤ ユリ]</t>
        </is>
      </c>
      <c r="AE108" s="7" t="n">
        <f>AU108&amp;AV108&amp;AW108&amp;BD108</f>
        <v>0.0</v>
      </c>
      <c r="AF108" s="7" t="inlineStr">
        <is>
          <t>080-4548-8848</t>
        </is>
      </c>
      <c r="AG108" s="7" t="inlineStr">
        <is>
          <t>450-0003</t>
        </is>
      </c>
      <c r="AH108" s="7" t="inlineStr">
        <is>
          <t>楽天-OBSESSION-L</t>
        </is>
      </c>
      <c r="AI108" s="7" t="n">
        <f>BB108&amp;BC108&amp;BA108</f>
        <v>0.0</v>
      </c>
      <c r="AJ108" s="7" t="inlineStr">
        <is>
          <t xml:space="preserve"> 05036359867</t>
        </is>
      </c>
      <c r="AK108" s="39" t="inlineStr">
        <is>
          <t>C</t>
        </is>
      </c>
      <c r="AL108" s="39" t="n">
        <v>1.0</v>
      </c>
      <c r="AM108" s="27" t="n">
        <f>IF(OR(ISNUMBER(SEARCH("amazon",AH108)),ISNUMBER(SEARCH("亚马逊",AH108))),"PUS001",IF(OR(ISNUMBER(SEARCH("rakuten",AH108)),ISNUMBER(SEARCH("楽天",AH108)),ISNUMBER(SEARCH("乐天",AH108))),"PJP001",IF(ISNUMBER(SEARCH("tik tok shop",AH108)),"PSG003",IF(ISNUMBER(SEARCH("temu",AH108)),"PSG001",IF(ISNUMBER(SEARCH("shein",AH108)),"JSG001",IF(OR(ISNUMBER(SEARCH("yahoo",AH108)),ISNUMBER(SEARCH("雅虎",AH108)),ISNUMBER(SEARCH("雅",AH108)),LEFT(UPPER(AH108),1)="Y"),"PJP005",IF(ISNUMBER(SEARCH("DDA JAPAN",AH108)),CHOOSE(RANDBETWEEN(1,3),"temu","PSG003","PSG001"),"JCNZZZ")))))))</f>
        <v>0.0</v>
      </c>
      <c r="AN108" s="7" t="n">
        <f>IF(ISNUMBER(SEARCH("JCNZZZ",AM108)),CHOOSE(RANDBETWEEN(1,4),"TAOBAO0","JinDdong","PingDduoDduo","ALIBABA"),"")</f>
        <v>0.0</v>
      </c>
      <c r="AU108" s="7" t="inlineStr">
        <is>
          <t>愛知県</t>
        </is>
      </c>
      <c r="AV108" s="7" t="inlineStr">
        <is>
          <t>名古屋市中村区</t>
        </is>
      </c>
      <c r="AW108" s="7" t="inlineStr">
        <is>
          <t>名駅南3丁目3-16ディモーラ名駅南301</t>
        </is>
      </c>
      <c r="AX108" s="7" t="inlineStr">
        <is>
          <t>Fan</t>
        </is>
      </c>
      <c r="AY108" s="7" t="inlineStr">
        <is>
          <t>ABS</t>
        </is>
      </c>
      <c r="AZ108" s="7" t="n">
        <v>15.0</v>
      </c>
      <c r="BA108" s="7" t="inlineStr">
        <is>
          <t xml:space="preserve"> 西成区北津守４－１３－４３</t>
        </is>
      </c>
      <c r="BB108" s="7"/>
      <c r="BC108" s="7"/>
      <c r="BD108" s="7"/>
    </row>
    <row r="109" customHeight="true" ht="33.0">
      <c r="A109" s="13" t="inlineStr">
        <is>
          <t>DIDA</t>
        </is>
      </c>
      <c r="B109" s="14"/>
      <c r="C109" s="15" t="inlineStr">
        <is>
          <t>365027493633</t>
        </is>
      </c>
      <c r="D109" s="15" t="inlineStr">
        <is>
          <t>365027493633</t>
        </is>
      </c>
      <c r="E109" s="7" t="n">
        <v>1.0</v>
      </c>
      <c r="F109" s="11" t="n">
        <v>0.47</v>
      </c>
      <c r="G109" s="7" t="inlineStr">
        <is>
          <t>KGM</t>
        </is>
      </c>
      <c r="H109" s="16" t="n">
        <f>UPPER(AX109)</f>
        <v>0.0</v>
      </c>
      <c r="I109" s="16" t="n">
        <f>UPPER(AY109)</f>
        <v>0.0</v>
      </c>
      <c r="J109" s="16" t="inlineStr">
        <is>
          <t>香月 星乃 [カツキ セイノ]</t>
        </is>
      </c>
      <c r="K109" s="25" t="n">
        <f>UPPER(J109)</f>
        <v>0.0</v>
      </c>
      <c r="L109" s="25"/>
      <c r="M109" s="26" t="n">
        <f>AU109&amp;AV109&amp;AW109&amp;BD109</f>
        <v>0.0</v>
      </c>
      <c r="N109" s="27" t="n">
        <f>UPPER(M109)</f>
        <v>0.0</v>
      </c>
      <c r="O109" s="28" t="n">
        <f>MID(N109,MIN(IFERROR(FIND({0,1,2,3,4,5,6,7,8,9},N109),LEN(N109)+1)),LEN(N109))</f>
        <v>0.0</v>
      </c>
      <c r="P109" s="28" t="n">
        <f>L109&amp;" "&amp;O109</f>
        <v>0.0</v>
      </c>
      <c r="Q109" s="27" t="inlineStr">
        <is>
          <t>156-0055</t>
        </is>
      </c>
      <c r="R109" s="30" t="inlineStr">
        <is>
          <t>090-9395-3963</t>
        </is>
      </c>
      <c r="S109" s="31" t="inlineStr">
        <is>
          <t xml:space="preserve">HUI ZHOU JING SHAN GONG MAO YOU XIAN GONG SI </t>
        </is>
      </c>
      <c r="T109" s="31" t="inlineStr">
        <is>
          <t>GUANG DONG SHENG HUI ZHOU SHI HUI CHENG QU QIAO DONG JIE DAO HUI ZHOU SHI HUI ZHOU DA DAO 108 HAO</t>
        </is>
      </c>
      <c r="U109" s="32" t="inlineStr">
        <is>
          <t>C&amp;F</t>
        </is>
      </c>
      <c r="V109" s="32" t="inlineStr">
        <is>
          <t>JPY</t>
        </is>
      </c>
      <c r="W109" s="33"/>
      <c r="X109" s="34" t="n">
        <f>INT(AZ109)</f>
        <v>0.0</v>
      </c>
      <c r="Y109" s="32" t="inlineStr">
        <is>
          <t>A</t>
        </is>
      </c>
      <c r="Z109" s="32" t="inlineStr">
        <is>
          <t>JPY</t>
        </is>
      </c>
      <c r="AA109" s="32"/>
      <c r="AB109" s="32" t="inlineStr">
        <is>
          <t>CN</t>
        </is>
      </c>
      <c r="AD109" s="27" t="inlineStr">
        <is>
          <t>香月 星乃 [カツキ セイノ]</t>
        </is>
      </c>
      <c r="AE109" s="7" t="n">
        <f>AU109&amp;AV109&amp;AW109&amp;BD109</f>
        <v>0.0</v>
      </c>
      <c r="AF109" s="7" t="inlineStr">
        <is>
          <t>090-9395-3963</t>
        </is>
      </c>
      <c r="AG109" s="7" t="inlineStr">
        <is>
          <t>156-0055</t>
        </is>
      </c>
      <c r="AH109" s="7" t="inlineStr">
        <is>
          <t>楽天-SUTAIRU-D</t>
        </is>
      </c>
      <c r="AI109" s="7" t="n">
        <f>BB109&amp;BC109&amp;BA109</f>
        <v>0.0</v>
      </c>
      <c r="AJ109" s="7" t="inlineStr">
        <is>
          <t xml:space="preserve"> 070-1432-7896</t>
        </is>
      </c>
      <c r="AK109" s="39" t="inlineStr">
        <is>
          <t>C</t>
        </is>
      </c>
      <c r="AL109" s="39" t="n">
        <v>1.0</v>
      </c>
      <c r="AM109" s="27" t="n">
        <f>IF(OR(ISNUMBER(SEARCH("amazon",AH109)),ISNUMBER(SEARCH("亚马逊",AH109))),"PUS001",IF(OR(ISNUMBER(SEARCH("rakuten",AH109)),ISNUMBER(SEARCH("楽天",AH109)),ISNUMBER(SEARCH("乐天",AH109))),"PJP001",IF(ISNUMBER(SEARCH("tik tok shop",AH109)),"PSG003",IF(ISNUMBER(SEARCH("temu",AH109)),"PSG001",IF(ISNUMBER(SEARCH("shein",AH109)),"JSG001",IF(OR(ISNUMBER(SEARCH("yahoo",AH109)),ISNUMBER(SEARCH("雅虎",AH109)),ISNUMBER(SEARCH("雅",AH109)),LEFT(UPPER(AH109),1)="Y"),"PJP005",IF(ISNUMBER(SEARCH("DDA JAPAN",AH109)),CHOOSE(RANDBETWEEN(1,3),"temu","PSG003","PSG001"),"JCNZZZ")))))))</f>
        <v>0.0</v>
      </c>
      <c r="AN109" s="7" t="n">
        <f>IF(ISNUMBER(SEARCH("JCNZZZ",AM109)),CHOOSE(RANDBETWEEN(1,4),"TAOBAO0","JinDdong","PingDduoDduo","ALIBABA"),"")</f>
        <v>0.0</v>
      </c>
      <c r="AU109" s="7" t="inlineStr">
        <is>
          <t>東京都</t>
        </is>
      </c>
      <c r="AV109" s="7" t="inlineStr">
        <is>
          <t>世田谷区</t>
        </is>
      </c>
      <c r="AW109" s="7" t="inlineStr">
        <is>
          <t>船橋6-27-1-7102025-12-16(火)</t>
        </is>
      </c>
      <c r="AX109" s="7" t="inlineStr">
        <is>
          <t>Night light</t>
        </is>
      </c>
      <c r="AY109" s="7" t="inlineStr">
        <is>
          <t>ABS</t>
        </is>
      </c>
      <c r="AZ109" s="7" t="n">
        <v>15.89</v>
      </c>
      <c r="BA109" s="7" t="inlineStr">
        <is>
          <t xml:space="preserve"> 内本町2‐3‐8</t>
        </is>
      </c>
      <c r="BB109" s="7"/>
      <c r="BC109" s="7"/>
      <c r="BD109" s="7"/>
    </row>
    <row r="110" customHeight="true" ht="33.0">
      <c r="A110" s="13" t="inlineStr">
        <is>
          <t>DIDA</t>
        </is>
      </c>
      <c r="B110" s="14"/>
      <c r="C110" s="15" t="inlineStr">
        <is>
          <t>365027493611</t>
        </is>
      </c>
      <c r="D110" s="15" t="inlineStr">
        <is>
          <t>365027493611</t>
        </is>
      </c>
      <c r="E110" s="7" t="n">
        <v>1.0</v>
      </c>
      <c r="F110" s="11" t="n">
        <v>0.94</v>
      </c>
      <c r="G110" s="7" t="inlineStr">
        <is>
          <t>KGM</t>
        </is>
      </c>
      <c r="H110" s="16" t="n">
        <f>UPPER(AX110)</f>
        <v>0.0</v>
      </c>
      <c r="I110" s="16" t="n">
        <f>UPPER(AY110)</f>
        <v>0.0</v>
      </c>
      <c r="J110" s="16" t="inlineStr">
        <is>
          <t>横山 葵 [ヨコヤマ アオイ]</t>
        </is>
      </c>
      <c r="K110" s="25" t="n">
        <f>UPPER(J110)</f>
        <v>0.0</v>
      </c>
      <c r="L110" s="25"/>
      <c r="M110" s="26" t="n">
        <f>AU110&amp;AV110&amp;AW110&amp;BD110</f>
        <v>0.0</v>
      </c>
      <c r="N110" s="27" t="n">
        <f>UPPER(M110)</f>
        <v>0.0</v>
      </c>
      <c r="O110" s="28" t="n">
        <f>MID(N110,MIN(IFERROR(FIND({0,1,2,3,4,5,6,7,8,9},N110),LEN(N110)+1)),LEN(N110))</f>
        <v>0.0</v>
      </c>
      <c r="P110" s="28" t="n">
        <f>L110&amp;" "&amp;O110</f>
        <v>0.0</v>
      </c>
      <c r="Q110" s="27" t="inlineStr">
        <is>
          <t>069-0361</t>
        </is>
      </c>
      <c r="R110" s="30" t="inlineStr">
        <is>
          <t>080-5596-5050</t>
        </is>
      </c>
      <c r="S110" s="31" t="inlineStr">
        <is>
          <t xml:space="preserve">HUI ZHOU JING SHAN GONG MAO YOU XIAN GONG SI </t>
        </is>
      </c>
      <c r="T110" s="31" t="inlineStr">
        <is>
          <t>GUANG DONG SHENG HUI ZHOU SHI HUI CHENG QU QIAO DONG JIE DAO HUI ZHOU SHI HUI ZHOU DA DAO 108 HAO</t>
        </is>
      </c>
      <c r="U110" s="32" t="inlineStr">
        <is>
          <t>C&amp;F</t>
        </is>
      </c>
      <c r="V110" s="32" t="inlineStr">
        <is>
          <t>JPY</t>
        </is>
      </c>
      <c r="W110" s="33"/>
      <c r="X110" s="34" t="n">
        <f>INT(AZ110)</f>
        <v>0.0</v>
      </c>
      <c r="Y110" s="32" t="inlineStr">
        <is>
          <t>A</t>
        </is>
      </c>
      <c r="Z110" s="32" t="inlineStr">
        <is>
          <t>JPY</t>
        </is>
      </c>
      <c r="AA110" s="32"/>
      <c r="AB110" s="32" t="inlineStr">
        <is>
          <t>CN</t>
        </is>
      </c>
      <c r="AD110" s="27" t="inlineStr">
        <is>
          <t>横山 葵 [ヨコヤマ アオイ]</t>
        </is>
      </c>
      <c r="AE110" s="7" t="n">
        <f>AU110&amp;AV110&amp;AW110&amp;BD110</f>
        <v>0.0</v>
      </c>
      <c r="AF110" s="7" t="inlineStr">
        <is>
          <t>080-5596-5050</t>
        </is>
      </c>
      <c r="AG110" s="7" t="inlineStr">
        <is>
          <t>069-0361</t>
        </is>
      </c>
      <c r="AH110" s="7" t="inlineStr">
        <is>
          <t>楽天-さのののストア</t>
        </is>
      </c>
      <c r="AI110" s="7" t="n">
        <f>BB110&amp;BC110&amp;BA110</f>
        <v>0.0</v>
      </c>
      <c r="AJ110" s="7" t="inlineStr">
        <is>
          <t xml:space="preserve"> 050-8882-6402</t>
        </is>
      </c>
      <c r="AK110" s="39" t="inlineStr">
        <is>
          <t>C</t>
        </is>
      </c>
      <c r="AL110" s="39" t="n">
        <v>1.0</v>
      </c>
      <c r="AM110" s="27" t="n">
        <f>IF(OR(ISNUMBER(SEARCH("amazon",AH110)),ISNUMBER(SEARCH("亚马逊",AH110))),"PUS001",IF(OR(ISNUMBER(SEARCH("rakuten",AH110)),ISNUMBER(SEARCH("楽天",AH110)),ISNUMBER(SEARCH("乐天",AH110))),"PJP001",IF(ISNUMBER(SEARCH("tik tok shop",AH110)),"PSG003",IF(ISNUMBER(SEARCH("temu",AH110)),"PSG001",IF(ISNUMBER(SEARCH("shein",AH110)),"JSG001",IF(OR(ISNUMBER(SEARCH("yahoo",AH110)),ISNUMBER(SEARCH("雅虎",AH110)),ISNUMBER(SEARCH("雅",AH110)),LEFT(UPPER(AH110),1)="Y"),"PJP005",IF(ISNUMBER(SEARCH("DDA JAPAN",AH110)),CHOOSE(RANDBETWEEN(1,3),"temu","PSG003","PSG001"),"JCNZZZ")))))))</f>
        <v>0.0</v>
      </c>
      <c r="AN110" s="7" t="n">
        <f>IF(ISNUMBER(SEARCH("JCNZZZ",AM110)),CHOOSE(RANDBETWEEN(1,4),"TAOBAO0","JinDdong","PingDduoDduo","ALIBABA"),"")</f>
        <v>0.0</v>
      </c>
      <c r="AU110" s="7" t="inlineStr">
        <is>
          <t>北海道</t>
        </is>
      </c>
      <c r="AV110" s="7" t="inlineStr">
        <is>
          <t>岩見沢市</t>
        </is>
      </c>
      <c r="AW110" s="7" t="inlineStr">
        <is>
          <t>上幌向北一条5丁目758-41</t>
        </is>
      </c>
      <c r="AX110" s="7" t="inlineStr">
        <is>
          <t>data line,Pepper mill</t>
        </is>
      </c>
      <c r="AY110" s="7" t="inlineStr">
        <is>
          <t>plastic</t>
        </is>
      </c>
      <c r="AZ110" s="7" t="n">
        <v>7.0</v>
      </c>
      <c r="BA110" s="7" t="inlineStr">
        <is>
          <t xml:space="preserve"> 和歌山県和歌山市西釘貫丁２－５３プレミール石川５０２</t>
        </is>
      </c>
      <c r="BB110" s="7"/>
      <c r="BC110" s="7"/>
      <c r="BD110" s="7"/>
    </row>
    <row r="111" customHeight="true" ht="33.0">
      <c r="A111" s="13" t="inlineStr">
        <is>
          <t>DIDA</t>
        </is>
      </c>
      <c r="B111" s="14"/>
      <c r="C111" s="15" t="inlineStr">
        <is>
          <t>365027470592</t>
        </is>
      </c>
      <c r="D111" s="15" t="inlineStr">
        <is>
          <t>365027470592</t>
        </is>
      </c>
      <c r="E111" s="7" t="n">
        <v>1.0</v>
      </c>
      <c r="F111" s="11" t="n">
        <v>1.59</v>
      </c>
      <c r="G111" s="7" t="inlineStr">
        <is>
          <t>KGM</t>
        </is>
      </c>
      <c r="H111" s="16" t="n">
        <f>UPPER(AX111)</f>
        <v>0.0</v>
      </c>
      <c r="I111" s="16" t="n">
        <f>UPPER(AY111)</f>
        <v>0.0</v>
      </c>
      <c r="J111" s="16" t="inlineStr">
        <is>
          <t>山本剛</t>
        </is>
      </c>
      <c r="K111" s="25" t="n">
        <f>UPPER(J111)</f>
        <v>0.0</v>
      </c>
      <c r="L111" s="25"/>
      <c r="M111" s="26" t="n">
        <f>AU111&amp;AV111&amp;AW111&amp;BD111</f>
        <v>0.0</v>
      </c>
      <c r="N111" s="27" t="n">
        <f>UPPER(M111)</f>
        <v>0.0</v>
      </c>
      <c r="O111" s="28" t="n">
        <f>MID(N111,MIN(IFERROR(FIND({0,1,2,3,4,5,6,7,8,9},N111),LEN(N111)+1)),LEN(N111))</f>
        <v>0.0</v>
      </c>
      <c r="P111" s="28" t="n">
        <f>L111&amp;" "&amp;O111</f>
        <v>0.0</v>
      </c>
      <c r="Q111" s="27" t="inlineStr">
        <is>
          <t>435-0056</t>
        </is>
      </c>
      <c r="R111" s="30" t="inlineStr">
        <is>
          <t>053-468-6380</t>
        </is>
      </c>
      <c r="S111" s="31" t="inlineStr">
        <is>
          <t xml:space="preserve">HUI ZHOU JING SHAN GONG MAO YOU XIAN GONG SI </t>
        </is>
      </c>
      <c r="T111" s="31" t="inlineStr">
        <is>
          <t>GUANG DONG SHENG HUI ZHOU SHI HUI CHENG QU QIAO DONG JIE DAO HUI ZHOU SHI HUI ZHOU DA DAO 108 HAO</t>
        </is>
      </c>
      <c r="U111" s="32" t="inlineStr">
        <is>
          <t>C&amp;F</t>
        </is>
      </c>
      <c r="V111" s="32" t="inlineStr">
        <is>
          <t>JPY</t>
        </is>
      </c>
      <c r="W111" s="33"/>
      <c r="X111" s="34" t="n">
        <f>INT(AZ111)</f>
        <v>0.0</v>
      </c>
      <c r="Y111" s="32" t="inlineStr">
        <is>
          <t>A</t>
        </is>
      </c>
      <c r="Z111" s="32" t="inlineStr">
        <is>
          <t>JPY</t>
        </is>
      </c>
      <c r="AA111" s="32"/>
      <c r="AB111" s="32" t="inlineStr">
        <is>
          <t>CN</t>
        </is>
      </c>
      <c r="AD111" s="27" t="inlineStr">
        <is>
          <t>山本剛</t>
        </is>
      </c>
      <c r="AE111" s="7" t="n">
        <f>AU111&amp;AV111&amp;AW111&amp;BD111</f>
        <v>0.0</v>
      </c>
      <c r="AF111" s="7" t="inlineStr">
        <is>
          <t>053-468-6380</t>
        </is>
      </c>
      <c r="AG111" s="7" t="inlineStr">
        <is>
          <t>435-0056</t>
        </is>
      </c>
      <c r="AH111" s="7"/>
      <c r="AI111" s="7" t="n">
        <f>BB111&amp;BC111&amp;BA111</f>
        <v>0.0</v>
      </c>
      <c r="AJ111" s="7" t="inlineStr">
        <is>
          <t xml:space="preserve"> </t>
        </is>
      </c>
      <c r="AK111" s="39" t="inlineStr">
        <is>
          <t>C</t>
        </is>
      </c>
      <c r="AL111" s="39" t="n">
        <v>1.0</v>
      </c>
      <c r="AM111" s="27" t="n">
        <f>IF(OR(ISNUMBER(SEARCH("amazon",AH111)),ISNUMBER(SEARCH("亚马逊",AH111))),"PUS001",IF(OR(ISNUMBER(SEARCH("rakuten",AH111)),ISNUMBER(SEARCH("楽天",AH111)),ISNUMBER(SEARCH("乐天",AH111))),"PJP001",IF(ISNUMBER(SEARCH("tik tok shop",AH111)),"PSG003",IF(ISNUMBER(SEARCH("temu",AH111)),"PSG001",IF(ISNUMBER(SEARCH("shein",AH111)),"JSG001",IF(OR(ISNUMBER(SEARCH("yahoo",AH111)),ISNUMBER(SEARCH("雅虎",AH111)),ISNUMBER(SEARCH("雅",AH111)),LEFT(UPPER(AH111),1)="Y"),"PJP005",IF(ISNUMBER(SEARCH("DDA JAPAN",AH111)),CHOOSE(RANDBETWEEN(1,3),"temu","PSG003","PSG001"),"JCNZZZ")))))))</f>
        <v>0.0</v>
      </c>
      <c r="AN111" s="7" t="n">
        <f>IF(ISNUMBER(SEARCH("JCNZZZ",AM111)),CHOOSE(RANDBETWEEN(1,4),"TAOBAO0","JinDdong","PingDduoDduo","ALIBABA"),"")</f>
        <v>0.0</v>
      </c>
      <c r="AU111" s="7"/>
      <c r="AV111" s="7"/>
      <c r="AW111" s="7" t="inlineStr">
        <is>
          <t>静岡県浜松市中央区小池町2642</t>
        </is>
      </c>
      <c r="AX111" s="7" t="inlineStr">
        <is>
          <t>LED lights</t>
        </is>
      </c>
      <c r="AY111" s="7" t="inlineStr">
        <is>
          <t>ABS</t>
        </is>
      </c>
      <c r="AZ111" s="7" t="n">
        <v>13.2</v>
      </c>
      <c r="BA111" s="7" t="inlineStr">
        <is>
          <t xml:space="preserve"> </t>
        </is>
      </c>
      <c r="BB111" s="7"/>
      <c r="BC111" s="7"/>
      <c r="BD111" s="7"/>
    </row>
    <row r="112" customHeight="true" ht="33.0">
      <c r="A112" s="13" t="inlineStr">
        <is>
          <t>DIDA</t>
        </is>
      </c>
      <c r="B112" s="14"/>
      <c r="C112" s="15" t="inlineStr">
        <is>
          <t>365027493143</t>
        </is>
      </c>
      <c r="D112" s="15" t="inlineStr">
        <is>
          <t>365027493143</t>
        </is>
      </c>
      <c r="E112" s="7" t="n">
        <v>1.0</v>
      </c>
      <c r="F112" s="11" t="n">
        <v>0.32</v>
      </c>
      <c r="G112" s="7" t="inlineStr">
        <is>
          <t>KGM</t>
        </is>
      </c>
      <c r="H112" s="16" t="n">
        <f>UPPER(AX112)</f>
        <v>0.0</v>
      </c>
      <c r="I112" s="16" t="n">
        <f>UPPER(AY112)</f>
        <v>0.0</v>
      </c>
      <c r="J112" s="16" t="inlineStr">
        <is>
          <t>株式会社 坂本推進</t>
        </is>
      </c>
      <c r="K112" s="25" t="n">
        <f>UPPER(J112)</f>
        <v>0.0</v>
      </c>
      <c r="L112" s="25"/>
      <c r="M112" s="26" t="n">
        <f>AU112&amp;AV112&amp;AW112&amp;BD112</f>
        <v>0.0</v>
      </c>
      <c r="N112" s="27" t="n">
        <f>UPPER(M112)</f>
        <v>0.0</v>
      </c>
      <c r="O112" s="28" t="n">
        <f>MID(N112,MIN(IFERROR(FIND({0,1,2,3,4,5,6,7,8,9},N112),LEN(N112)+1)),LEN(N112))</f>
        <v>0.0</v>
      </c>
      <c r="P112" s="28" t="n">
        <f>L112&amp;" "&amp;O112</f>
        <v>0.0</v>
      </c>
      <c r="Q112" s="27" t="inlineStr">
        <is>
          <t>030-0945</t>
        </is>
      </c>
      <c r="R112" s="30" t="inlineStr">
        <is>
          <t>017-743-3302</t>
        </is>
      </c>
      <c r="S112" s="31" t="inlineStr">
        <is>
          <t xml:space="preserve">HUI ZHOU JING SHAN GONG MAO YOU XIAN GONG SI </t>
        </is>
      </c>
      <c r="T112" s="31" t="inlineStr">
        <is>
          <t>GUANG DONG SHENG HUI ZHOU SHI HUI CHENG QU QIAO DONG JIE DAO HUI ZHOU SHI HUI ZHOU DA DAO 108 HAO</t>
        </is>
      </c>
      <c r="U112" s="32" t="inlineStr">
        <is>
          <t>C&amp;F</t>
        </is>
      </c>
      <c r="V112" s="32" t="inlineStr">
        <is>
          <t>JPY</t>
        </is>
      </c>
      <c r="W112" s="33"/>
      <c r="X112" s="34" t="n">
        <f>INT(AZ112)</f>
        <v>0.0</v>
      </c>
      <c r="Y112" s="32" t="inlineStr">
        <is>
          <t>A</t>
        </is>
      </c>
      <c r="Z112" s="32" t="inlineStr">
        <is>
          <t>JPY</t>
        </is>
      </c>
      <c r="AA112" s="32"/>
      <c r="AB112" s="32" t="inlineStr">
        <is>
          <t>CN</t>
        </is>
      </c>
      <c r="AD112" s="27" t="inlineStr">
        <is>
          <t>株式会社 坂本推進</t>
        </is>
      </c>
      <c r="AE112" s="7" t="n">
        <f>AU112&amp;AV112&amp;AW112&amp;BD112</f>
        <v>0.0</v>
      </c>
      <c r="AF112" s="7" t="inlineStr">
        <is>
          <t>017-743-3302</t>
        </is>
      </c>
      <c r="AG112" s="7" t="inlineStr">
        <is>
          <t>030-0945</t>
        </is>
      </c>
      <c r="AH112" s="7" t="inlineStr">
        <is>
          <t>楽天-SUTAIRU-D</t>
        </is>
      </c>
      <c r="AI112" s="7" t="n">
        <f>BB112&amp;BC112&amp;BA112</f>
        <v>0.0</v>
      </c>
      <c r="AJ112" s="7" t="inlineStr">
        <is>
          <t xml:space="preserve"> 070-1432-7896</t>
        </is>
      </c>
      <c r="AK112" s="39" t="inlineStr">
        <is>
          <t>C</t>
        </is>
      </c>
      <c r="AL112" s="39" t="n">
        <v>1.0</v>
      </c>
      <c r="AM112" s="27" t="n">
        <f>IF(OR(ISNUMBER(SEARCH("amazon",AH112)),ISNUMBER(SEARCH("亚马逊",AH112))),"PUS001",IF(OR(ISNUMBER(SEARCH("rakuten",AH112)),ISNUMBER(SEARCH("楽天",AH112)),ISNUMBER(SEARCH("乐天",AH112))),"PJP001",IF(ISNUMBER(SEARCH("tik tok shop",AH112)),"PSG003",IF(ISNUMBER(SEARCH("temu",AH112)),"PSG001",IF(ISNUMBER(SEARCH("shein",AH112)),"JSG001",IF(OR(ISNUMBER(SEARCH("yahoo",AH112)),ISNUMBER(SEARCH("雅虎",AH112)),ISNUMBER(SEARCH("雅",AH112)),LEFT(UPPER(AH112),1)="Y"),"PJP005",IF(ISNUMBER(SEARCH("DDA JAPAN",AH112)),CHOOSE(RANDBETWEEN(1,3),"temu","PSG003","PSG001"),"JCNZZZ")))))))</f>
        <v>0.0</v>
      </c>
      <c r="AN112" s="7" t="n">
        <f>IF(ISNUMBER(SEARCH("JCNZZZ",AM112)),CHOOSE(RANDBETWEEN(1,4),"TAOBAO0","JinDdong","PingDduoDduo","ALIBABA"),"")</f>
        <v>0.0</v>
      </c>
      <c r="AU112" s="7" t="inlineStr">
        <is>
          <t>青森県</t>
        </is>
      </c>
      <c r="AV112" s="7" t="inlineStr">
        <is>
          <t>青森市</t>
        </is>
      </c>
      <c r="AW112" s="7" t="inlineStr">
        <is>
          <t>桜川9-9-24</t>
        </is>
      </c>
      <c r="AX112" s="7" t="inlineStr">
        <is>
          <t>Scanning pen</t>
        </is>
      </c>
      <c r="AY112" s="7" t="inlineStr">
        <is>
          <t>ABS</t>
        </is>
      </c>
      <c r="AZ112" s="7" t="n">
        <v>16.8</v>
      </c>
      <c r="BA112" s="7" t="inlineStr">
        <is>
          <t xml:space="preserve"> 内本町2‐3‐8</t>
        </is>
      </c>
      <c r="BB112" s="7"/>
      <c r="BC112" s="7"/>
      <c r="BD112" s="7"/>
    </row>
    <row r="113" customHeight="true" ht="33.0">
      <c r="A113" s="13" t="inlineStr">
        <is>
          <t>DIDA</t>
        </is>
      </c>
      <c r="B113" s="14"/>
      <c r="C113" s="15" t="inlineStr">
        <is>
          <t>365027491791</t>
        </is>
      </c>
      <c r="D113" s="15" t="inlineStr">
        <is>
          <t>365027491791</t>
        </is>
      </c>
      <c r="E113" s="7" t="n">
        <v>1.0</v>
      </c>
      <c r="F113" s="11" t="n">
        <v>0.35</v>
      </c>
      <c r="G113" s="7" t="inlineStr">
        <is>
          <t>KGM</t>
        </is>
      </c>
      <c r="H113" s="16" t="n">
        <f>UPPER(AX113)</f>
        <v>0.0</v>
      </c>
      <c r="I113" s="16" t="n">
        <f>UPPER(AY113)</f>
        <v>0.0</v>
      </c>
      <c r="J113" s="16" t="inlineStr">
        <is>
          <t>市毛 徹 [イチゲ トオル]</t>
        </is>
      </c>
      <c r="K113" s="25" t="n">
        <f>UPPER(J113)</f>
        <v>0.0</v>
      </c>
      <c r="L113" s="25"/>
      <c r="M113" s="26" t="n">
        <f>AU113&amp;AV113&amp;AW113&amp;BD113</f>
        <v>0.0</v>
      </c>
      <c r="N113" s="27" t="n">
        <f>UPPER(M113)</f>
        <v>0.0</v>
      </c>
      <c r="O113" s="28" t="n">
        <f>MID(N113,MIN(IFERROR(FIND({0,1,2,3,4,5,6,7,8,9},N113),LEN(N113)+1)),LEN(N113))</f>
        <v>0.0</v>
      </c>
      <c r="P113" s="28" t="n">
        <f>L113&amp;" "&amp;O113</f>
        <v>0.0</v>
      </c>
      <c r="Q113" s="27" t="inlineStr">
        <is>
          <t>417-0856</t>
        </is>
      </c>
      <c r="R113" s="30" t="inlineStr">
        <is>
          <t>090-1357-3364</t>
        </is>
      </c>
      <c r="S113" s="31" t="inlineStr">
        <is>
          <t xml:space="preserve">HUI ZHOU JING SHAN GONG MAO YOU XIAN GONG SI </t>
        </is>
      </c>
      <c r="T113" s="31" t="inlineStr">
        <is>
          <t>GUANG DONG SHENG HUI ZHOU SHI HUI CHENG QU QIAO DONG JIE DAO HUI ZHOU SHI HUI ZHOU DA DAO 108 HAO</t>
        </is>
      </c>
      <c r="U113" s="32" t="inlineStr">
        <is>
          <t>C&amp;F</t>
        </is>
      </c>
      <c r="V113" s="32" t="inlineStr">
        <is>
          <t>JPY</t>
        </is>
      </c>
      <c r="W113" s="33"/>
      <c r="X113" s="34" t="n">
        <f>INT(AZ113)</f>
        <v>0.0</v>
      </c>
      <c r="Y113" s="32" t="inlineStr">
        <is>
          <t>A</t>
        </is>
      </c>
      <c r="Z113" s="32" t="inlineStr">
        <is>
          <t>JPY</t>
        </is>
      </c>
      <c r="AA113" s="32"/>
      <c r="AB113" s="32" t="inlineStr">
        <is>
          <t>CN</t>
        </is>
      </c>
      <c r="AD113" s="27" t="inlineStr">
        <is>
          <t>市毛 徹 [イチゲ トオル]</t>
        </is>
      </c>
      <c r="AE113" s="7" t="n">
        <f>AU113&amp;AV113&amp;AW113&amp;BD113</f>
        <v>0.0</v>
      </c>
      <c r="AF113" s="7" t="inlineStr">
        <is>
          <t>090-1357-3364</t>
        </is>
      </c>
      <c r="AG113" s="7" t="inlineStr">
        <is>
          <t>417-0856</t>
        </is>
      </c>
      <c r="AH113" s="7" t="inlineStr">
        <is>
          <t>楽天-Rumay-D</t>
        </is>
      </c>
      <c r="AI113" s="7" t="n">
        <f>BB113&amp;BC113&amp;BA113</f>
        <v>0.0</v>
      </c>
      <c r="AJ113" s="7" t="inlineStr">
        <is>
          <t xml:space="preserve"> 072-703-4761</t>
        </is>
      </c>
      <c r="AK113" s="39" t="inlineStr">
        <is>
          <t>C</t>
        </is>
      </c>
      <c r="AL113" s="39" t="n">
        <v>1.0</v>
      </c>
      <c r="AM113" s="27" t="n">
        <f>IF(OR(ISNUMBER(SEARCH("amazon",AH113)),ISNUMBER(SEARCH("亚马逊",AH113))),"PUS001",IF(OR(ISNUMBER(SEARCH("rakuten",AH113)),ISNUMBER(SEARCH("楽天",AH113)),ISNUMBER(SEARCH("乐天",AH113))),"PJP001",IF(ISNUMBER(SEARCH("tik tok shop",AH113)),"PSG003",IF(ISNUMBER(SEARCH("temu",AH113)),"PSG001",IF(ISNUMBER(SEARCH("shein",AH113)),"JSG001",IF(OR(ISNUMBER(SEARCH("yahoo",AH113)),ISNUMBER(SEARCH("雅虎",AH113)),ISNUMBER(SEARCH("雅",AH113)),LEFT(UPPER(AH113),1)="Y"),"PJP005",IF(ISNUMBER(SEARCH("DDA JAPAN",AH113)),CHOOSE(RANDBETWEEN(1,3),"temu","PSG003","PSG001"),"JCNZZZ")))))))</f>
        <v>0.0</v>
      </c>
      <c r="AN113" s="7" t="n">
        <f>IF(ISNUMBER(SEARCH("JCNZZZ",AM113)),CHOOSE(RANDBETWEEN(1,4),"TAOBAO0","JinDdong","PingDduoDduo","ALIBABA"),"")</f>
        <v>0.0</v>
      </c>
      <c r="AU113" s="7" t="inlineStr">
        <is>
          <t>静岡県</t>
        </is>
      </c>
      <c r="AV113" s="7" t="inlineStr">
        <is>
          <t>富士市</t>
        </is>
      </c>
      <c r="AW113" s="7" t="inlineStr">
        <is>
          <t>さんどまき57番地</t>
        </is>
      </c>
      <c r="AX113" s="7" t="inlineStr">
        <is>
          <t>circuit changer</t>
        </is>
      </c>
      <c r="AY113" s="7" t="inlineStr">
        <is>
          <t>ABS</t>
        </is>
      </c>
      <c r="AZ113" s="7" t="n">
        <v>8.69</v>
      </c>
      <c r="BA113" s="7" t="inlineStr">
        <is>
          <t xml:space="preserve"> 中央区内本町2‐3‐8　ダイアパレスビル本町 1006ミズイシテクノロジー</t>
        </is>
      </c>
      <c r="BB113" s="7"/>
      <c r="BC113" s="7"/>
      <c r="BD113" s="7"/>
    </row>
    <row r="114" customHeight="true" ht="33.0">
      <c r="A114" s="13" t="inlineStr">
        <is>
          <t>DIDA</t>
        </is>
      </c>
      <c r="B114" s="14"/>
      <c r="C114" s="15" t="inlineStr">
        <is>
          <t>365027493423</t>
        </is>
      </c>
      <c r="D114" s="15" t="inlineStr">
        <is>
          <t>365027493423</t>
        </is>
      </c>
      <c r="E114" s="7" t="n">
        <v>1.0</v>
      </c>
      <c r="F114" s="11" t="n">
        <v>1.08</v>
      </c>
      <c r="G114" s="7" t="inlineStr">
        <is>
          <t>KGM</t>
        </is>
      </c>
      <c r="H114" s="16" t="n">
        <f>UPPER(AX114)</f>
        <v>0.0</v>
      </c>
      <c r="I114" s="16" t="n">
        <f>UPPER(AY114)</f>
        <v>0.0</v>
      </c>
      <c r="J114" s="16" t="inlineStr">
        <is>
          <t>網田 涼花</t>
        </is>
      </c>
      <c r="K114" s="25" t="n">
        <f>UPPER(J114)</f>
        <v>0.0</v>
      </c>
      <c r="L114" s="25"/>
      <c r="M114" s="26" t="n">
        <f>AU114&amp;AV114&amp;AW114&amp;BD114</f>
        <v>0.0</v>
      </c>
      <c r="N114" s="27" t="n">
        <f>UPPER(M114)</f>
        <v>0.0</v>
      </c>
      <c r="O114" s="28" t="n">
        <f>MID(N114,MIN(IFERROR(FIND({0,1,2,3,4,5,6,7,8,9},N114),LEN(N114)+1)),LEN(N114))</f>
        <v>0.0</v>
      </c>
      <c r="P114" s="28" t="n">
        <f>L114&amp;" "&amp;O114</f>
        <v>0.0</v>
      </c>
      <c r="Q114" s="27" t="inlineStr">
        <is>
          <t>522-0025</t>
        </is>
      </c>
      <c r="R114" s="30" t="inlineStr">
        <is>
          <t>080-5627-8932</t>
        </is>
      </c>
      <c r="S114" s="31" t="inlineStr">
        <is>
          <t xml:space="preserve">HUI ZHOU JING SHAN GONG MAO YOU XIAN GONG SI </t>
        </is>
      </c>
      <c r="T114" s="31" t="inlineStr">
        <is>
          <t>GUANG DONG SHENG HUI ZHOU SHI HUI CHENG QU QIAO DONG JIE DAO HUI ZHOU SHI HUI ZHOU DA DAO 108 HAO</t>
        </is>
      </c>
      <c r="U114" s="32" t="inlineStr">
        <is>
          <t>C&amp;F</t>
        </is>
      </c>
      <c r="V114" s="32" t="inlineStr">
        <is>
          <t>JPY</t>
        </is>
      </c>
      <c r="W114" s="33"/>
      <c r="X114" s="34" t="n">
        <f>INT(AZ114)</f>
        <v>0.0</v>
      </c>
      <c r="Y114" s="32" t="inlineStr">
        <is>
          <t>A</t>
        </is>
      </c>
      <c r="Z114" s="32" t="inlineStr">
        <is>
          <t>JPY</t>
        </is>
      </c>
      <c r="AA114" s="32"/>
      <c r="AB114" s="32" t="inlineStr">
        <is>
          <t>CN</t>
        </is>
      </c>
      <c r="AD114" s="27" t="inlineStr">
        <is>
          <t>網田 涼花</t>
        </is>
      </c>
      <c r="AE114" s="7" t="n">
        <f>AU114&amp;AV114&amp;AW114&amp;BD114</f>
        <v>0.0</v>
      </c>
      <c r="AF114" s="7" t="inlineStr">
        <is>
          <t>080-5627-8932</t>
        </is>
      </c>
      <c r="AG114" s="7" t="inlineStr">
        <is>
          <t>522-0025</t>
        </is>
      </c>
      <c r="AH114" s="7" t="inlineStr">
        <is>
          <t/>
        </is>
      </c>
      <c r="AI114" s="7" t="n">
        <f>BB114&amp;BC114&amp;BA114</f>
        <v>0.0</v>
      </c>
      <c r="AJ114" s="7" t="inlineStr">
        <is>
          <t xml:space="preserve"> 04-7137-7848</t>
        </is>
      </c>
      <c r="AK114" s="39" t="inlineStr">
        <is>
          <t>C</t>
        </is>
      </c>
      <c r="AL114" s="39" t="n">
        <v>1.0</v>
      </c>
      <c r="AM114" s="27" t="n">
        <f>IF(OR(ISNUMBER(SEARCH("amazon",AH114)),ISNUMBER(SEARCH("亚马逊",AH114))),"PUS001",IF(OR(ISNUMBER(SEARCH("rakuten",AH114)),ISNUMBER(SEARCH("楽天",AH114)),ISNUMBER(SEARCH("乐天",AH114))),"PJP001",IF(ISNUMBER(SEARCH("tik tok shop",AH114)),"PSG003",IF(ISNUMBER(SEARCH("temu",AH114)),"PSG001",IF(ISNUMBER(SEARCH("shein",AH114)),"JSG001",IF(OR(ISNUMBER(SEARCH("yahoo",AH114)),ISNUMBER(SEARCH("雅虎",AH114)),ISNUMBER(SEARCH("雅",AH114)),LEFT(UPPER(AH114),1)="Y"),"PJP005",IF(ISNUMBER(SEARCH("DDA JAPAN",AH114)),CHOOSE(RANDBETWEEN(1,3),"temu","PSG003","PSG001"),"JCNZZZ")))))))</f>
        <v>0.0</v>
      </c>
      <c r="AN114" s="7" t="n">
        <f>IF(ISNUMBER(SEARCH("JCNZZZ",AM114)),CHOOSE(RANDBETWEEN(1,4),"TAOBAO0","JinDdong","PingDduoDduo","ALIBABA"),"")</f>
        <v>0.0</v>
      </c>
      <c r="AU114" s="7" t="inlineStr">
        <is>
          <t>滋賀県</t>
        </is>
      </c>
      <c r="AV114" s="7" t="inlineStr">
        <is>
          <t>彦根市</t>
        </is>
      </c>
      <c r="AW114" s="7" t="inlineStr">
        <is>
          <t>野田山町569-1 ゴールドパティー5 103</t>
        </is>
      </c>
      <c r="AX114" s="7" t="inlineStr">
        <is>
          <t>Electronic organ toy</t>
        </is>
      </c>
      <c r="AY114" s="7" t="inlineStr">
        <is>
          <t>ABS</t>
        </is>
      </c>
      <c r="AZ114" s="7" t="n">
        <v>8.0</v>
      </c>
      <c r="BA114" s="7" t="inlineStr">
        <is>
          <t xml:space="preserve"> 平方 字下中谷806-1 GLP　ALFALINK8-1F　 13番</t>
        </is>
      </c>
      <c r="BB114" s="7" t="inlineStr">
        <is>
          <t>千葉県</t>
        </is>
      </c>
      <c r="BC114" s="7" t="inlineStr">
        <is>
          <t>流山市</t>
        </is>
      </c>
      <c r="BD114" s="7" t="inlineStr">
        <is>
          <t/>
        </is>
      </c>
    </row>
    <row r="115" customHeight="true" ht="33.0">
      <c r="A115" s="13" t="inlineStr">
        <is>
          <t>DIDA</t>
        </is>
      </c>
      <c r="B115" s="14"/>
      <c r="C115" s="15" t="inlineStr">
        <is>
          <t>365027493666</t>
        </is>
      </c>
      <c r="D115" s="15" t="inlineStr">
        <is>
          <t>365027493666</t>
        </is>
      </c>
      <c r="E115" s="7" t="n">
        <v>1.0</v>
      </c>
      <c r="F115" s="11" t="n">
        <v>0.45</v>
      </c>
      <c r="G115" s="7" t="inlineStr">
        <is>
          <t>KGM</t>
        </is>
      </c>
      <c r="H115" s="16" t="n">
        <f>UPPER(AX115)</f>
        <v>0.0</v>
      </c>
      <c r="I115" s="16" t="n">
        <f>UPPER(AY115)</f>
        <v>0.0</v>
      </c>
      <c r="J115" s="16" t="inlineStr">
        <is>
          <t>高屋 梨花 [タカヤ リカ]</t>
        </is>
      </c>
      <c r="K115" s="25" t="n">
        <f>UPPER(J115)</f>
        <v>0.0</v>
      </c>
      <c r="L115" s="25"/>
      <c r="M115" s="26" t="n">
        <f>AU115&amp;AV115&amp;AW115&amp;BD115</f>
        <v>0.0</v>
      </c>
      <c r="N115" s="27" t="n">
        <f>UPPER(M115)</f>
        <v>0.0</v>
      </c>
      <c r="O115" s="28" t="n">
        <f>MID(N115,MIN(IFERROR(FIND({0,1,2,3,4,5,6,7,8,9},N115),LEN(N115)+1)),LEN(N115))</f>
        <v>0.0</v>
      </c>
      <c r="P115" s="28" t="n">
        <f>L115&amp;" "&amp;O115</f>
        <v>0.0</v>
      </c>
      <c r="Q115" s="27" t="inlineStr">
        <is>
          <t>078-8231</t>
        </is>
      </c>
      <c r="R115" s="30" t="inlineStr">
        <is>
          <t>090-6994-3145</t>
        </is>
      </c>
      <c r="S115" s="31" t="inlineStr">
        <is>
          <t xml:space="preserve">HUI ZHOU JING SHAN GONG MAO YOU XIAN GONG SI </t>
        </is>
      </c>
      <c r="T115" s="31" t="inlineStr">
        <is>
          <t>GUANG DONG SHENG HUI ZHOU SHI HUI CHENG QU QIAO DONG JIE DAO HUI ZHOU SHI HUI ZHOU DA DAO 108 HAO</t>
        </is>
      </c>
      <c r="U115" s="32" t="inlineStr">
        <is>
          <t>C&amp;F</t>
        </is>
      </c>
      <c r="V115" s="32" t="inlineStr">
        <is>
          <t>JPY</t>
        </is>
      </c>
      <c r="W115" s="33"/>
      <c r="X115" s="34" t="n">
        <f>INT(AZ115)</f>
        <v>0.0</v>
      </c>
      <c r="Y115" s="32" t="inlineStr">
        <is>
          <t>A</t>
        </is>
      </c>
      <c r="Z115" s="32" t="inlineStr">
        <is>
          <t>JPY</t>
        </is>
      </c>
      <c r="AA115" s="32"/>
      <c r="AB115" s="32" t="inlineStr">
        <is>
          <t>CN</t>
        </is>
      </c>
      <c r="AD115" s="27" t="inlineStr">
        <is>
          <t>高屋 梨花 [タカヤ リカ]</t>
        </is>
      </c>
      <c r="AE115" s="7" t="n">
        <f>AU115&amp;AV115&amp;AW115&amp;BD115</f>
        <v>0.0</v>
      </c>
      <c r="AF115" s="7" t="inlineStr">
        <is>
          <t>090-6994-3145</t>
        </is>
      </c>
      <c r="AG115" s="7" t="inlineStr">
        <is>
          <t>078-8231</t>
        </is>
      </c>
      <c r="AH115" s="7" t="inlineStr">
        <is>
          <t>金城楽天市場店</t>
        </is>
      </c>
      <c r="AI115" s="7" t="n">
        <f>BB115&amp;BC115&amp;BA115</f>
        <v>0.0</v>
      </c>
      <c r="AJ115" s="7" t="inlineStr">
        <is>
          <t xml:space="preserve"> 05030921748</t>
        </is>
      </c>
      <c r="AK115" s="39" t="inlineStr">
        <is>
          <t>C</t>
        </is>
      </c>
      <c r="AL115" s="39" t="n">
        <v>1.0</v>
      </c>
      <c r="AM115" s="27" t="n">
        <f>IF(OR(ISNUMBER(SEARCH("amazon",AH115)),ISNUMBER(SEARCH("亚马逊",AH115))),"PUS001",IF(OR(ISNUMBER(SEARCH("rakuten",AH115)),ISNUMBER(SEARCH("楽天",AH115)),ISNUMBER(SEARCH("乐天",AH115))),"PJP001",IF(ISNUMBER(SEARCH("tik tok shop",AH115)),"PSG003",IF(ISNUMBER(SEARCH("temu",AH115)),"PSG001",IF(ISNUMBER(SEARCH("shein",AH115)),"JSG001",IF(OR(ISNUMBER(SEARCH("yahoo",AH115)),ISNUMBER(SEARCH("雅虎",AH115)),ISNUMBER(SEARCH("雅",AH115)),LEFT(UPPER(AH115),1)="Y"),"PJP005",IF(ISNUMBER(SEARCH("DDA JAPAN",AH115)),CHOOSE(RANDBETWEEN(1,3),"temu","PSG003","PSG001"),"JCNZZZ")))))))</f>
        <v>0.0</v>
      </c>
      <c r="AN115" s="7" t="n">
        <f>IF(ISNUMBER(SEARCH("JCNZZZ",AM115)),CHOOSE(RANDBETWEEN(1,4),"TAOBAO0","JinDdong","PingDduoDduo","ALIBABA"),"")</f>
        <v>0.0</v>
      </c>
      <c r="AU115" s="7" t="inlineStr">
        <is>
          <t>北海道</t>
        </is>
      </c>
      <c r="AV115" s="7" t="inlineStr">
        <is>
          <t>旭川市</t>
        </is>
      </c>
      <c r="AW115" s="7" t="inlineStr">
        <is>
          <t>豊岡1条6丁目3-18</t>
        </is>
      </c>
      <c r="AX115" s="7" t="inlineStr">
        <is>
          <t>Toy</t>
        </is>
      </c>
      <c r="AY115" s="7" t="inlineStr">
        <is>
          <t>plastic</t>
        </is>
      </c>
      <c r="AZ115" s="7" t="n">
        <v>3.0</v>
      </c>
      <c r="BA115" s="7" t="inlineStr">
        <is>
          <t xml:space="preserve"> 大阪府大阪市東住吉区住道矢田七丁目１０番１３号</t>
        </is>
      </c>
      <c r="BB115" s="7"/>
      <c r="BC115" s="7"/>
      <c r="BD115" s="7"/>
    </row>
    <row r="116" customHeight="true" ht="33.0">
      <c r="A116" s="13" t="inlineStr">
        <is>
          <t>DIDA</t>
        </is>
      </c>
      <c r="B116" s="14"/>
      <c r="C116" s="15" t="inlineStr">
        <is>
          <t>365027493375</t>
        </is>
      </c>
      <c r="D116" s="15" t="inlineStr">
        <is>
          <t>365027493375</t>
        </is>
      </c>
      <c r="E116" s="7" t="n">
        <v>1.0</v>
      </c>
      <c r="F116" s="11" t="n">
        <v>1.23</v>
      </c>
      <c r="G116" s="7" t="inlineStr">
        <is>
          <t>KGM</t>
        </is>
      </c>
      <c r="H116" s="16" t="n">
        <f>UPPER(AX116)</f>
        <v>0.0</v>
      </c>
      <c r="I116" s="16" t="n">
        <f>UPPER(AY116)</f>
        <v>0.0</v>
      </c>
      <c r="J116" s="16" t="inlineStr">
        <is>
          <t>廣瀬 みちる [ヒロセ ミチル]</t>
        </is>
      </c>
      <c r="K116" s="25" t="n">
        <f>UPPER(J116)</f>
        <v>0.0</v>
      </c>
      <c r="L116" s="25"/>
      <c r="M116" s="26" t="n">
        <f>AU116&amp;AV116&amp;AW116&amp;BD116</f>
        <v>0.0</v>
      </c>
      <c r="N116" s="27" t="n">
        <f>UPPER(M116)</f>
        <v>0.0</v>
      </c>
      <c r="O116" s="28" t="n">
        <f>MID(N116,MIN(IFERROR(FIND({0,1,2,3,4,5,6,7,8,9},N116),LEN(N116)+1)),LEN(N116))</f>
        <v>0.0</v>
      </c>
      <c r="P116" s="28" t="n">
        <f>L116&amp;" "&amp;O116</f>
        <v>0.0</v>
      </c>
      <c r="Q116" s="27" t="inlineStr">
        <is>
          <t>164-0011</t>
        </is>
      </c>
      <c r="R116" s="30" t="inlineStr">
        <is>
          <t>080-6018-8209</t>
        </is>
      </c>
      <c r="S116" s="31" t="inlineStr">
        <is>
          <t xml:space="preserve">HUI ZHOU JING SHAN GONG MAO YOU XIAN GONG SI </t>
        </is>
      </c>
      <c r="T116" s="31" t="inlineStr">
        <is>
          <t>GUANG DONG SHENG HUI ZHOU SHI HUI CHENG QU QIAO DONG JIE DAO HUI ZHOU SHI HUI ZHOU DA DAO 108 HAO</t>
        </is>
      </c>
      <c r="U116" s="32" t="inlineStr">
        <is>
          <t>C&amp;F</t>
        </is>
      </c>
      <c r="V116" s="32" t="inlineStr">
        <is>
          <t>JPY</t>
        </is>
      </c>
      <c r="W116" s="33"/>
      <c r="X116" s="34" t="n">
        <f>INT(AZ116)</f>
        <v>0.0</v>
      </c>
      <c r="Y116" s="32" t="inlineStr">
        <is>
          <t>A</t>
        </is>
      </c>
      <c r="Z116" s="32" t="inlineStr">
        <is>
          <t>JPY</t>
        </is>
      </c>
      <c r="AA116" s="32"/>
      <c r="AB116" s="32" t="inlineStr">
        <is>
          <t>CN</t>
        </is>
      </c>
      <c r="AD116" s="27" t="inlineStr">
        <is>
          <t>廣瀬 みちる [ヒロセ ミチル]</t>
        </is>
      </c>
      <c r="AE116" s="7" t="n">
        <f>AU116&amp;AV116&amp;AW116&amp;BD116</f>
        <v>0.0</v>
      </c>
      <c r="AF116" s="7" t="inlineStr">
        <is>
          <t>080-6018-8209</t>
        </is>
      </c>
      <c r="AG116" s="7" t="inlineStr">
        <is>
          <t>164-0011</t>
        </is>
      </c>
      <c r="AH116" s="7" t="inlineStr">
        <is>
          <t>楽天-SUTAIRU-D</t>
        </is>
      </c>
      <c r="AI116" s="7" t="n">
        <f>BB116&amp;BC116&amp;BA116</f>
        <v>0.0</v>
      </c>
      <c r="AJ116" s="7" t="inlineStr">
        <is>
          <t xml:space="preserve"> 070-1432-7896</t>
        </is>
      </c>
      <c r="AK116" s="39" t="inlineStr">
        <is>
          <t>C</t>
        </is>
      </c>
      <c r="AL116" s="39" t="n">
        <v>1.0</v>
      </c>
      <c r="AM116" s="27" t="n">
        <f>IF(OR(ISNUMBER(SEARCH("amazon",AH116)),ISNUMBER(SEARCH("亚马逊",AH116))),"PUS001",IF(OR(ISNUMBER(SEARCH("rakuten",AH116)),ISNUMBER(SEARCH("楽天",AH116)),ISNUMBER(SEARCH("乐天",AH116))),"PJP001",IF(ISNUMBER(SEARCH("tik tok shop",AH116)),"PSG003",IF(ISNUMBER(SEARCH("temu",AH116)),"PSG001",IF(ISNUMBER(SEARCH("shein",AH116)),"JSG001",IF(OR(ISNUMBER(SEARCH("yahoo",AH116)),ISNUMBER(SEARCH("雅虎",AH116)),ISNUMBER(SEARCH("雅",AH116)),LEFT(UPPER(AH116),1)="Y"),"PJP005",IF(ISNUMBER(SEARCH("DDA JAPAN",AH116)),CHOOSE(RANDBETWEEN(1,3),"temu","PSG003","PSG001"),"JCNZZZ")))))))</f>
        <v>0.0</v>
      </c>
      <c r="AN116" s="7" t="n">
        <f>IF(ISNUMBER(SEARCH("JCNZZZ",AM116)),CHOOSE(RANDBETWEEN(1,4),"TAOBAO0","JinDdong","PingDduoDduo","ALIBABA"),"")</f>
        <v>0.0</v>
      </c>
      <c r="AU116" s="7" t="inlineStr">
        <is>
          <t>東京都</t>
        </is>
      </c>
      <c r="AV116" s="7" t="inlineStr">
        <is>
          <t>中野区</t>
        </is>
      </c>
      <c r="AW116" s="7" t="inlineStr">
        <is>
          <t>中央4丁目53-4 ベルプラザ402（午前中お願い）</t>
        </is>
      </c>
      <c r="AX116" s="7" t="inlineStr">
        <is>
          <t>Makeup Mirror</t>
        </is>
      </c>
      <c r="AY116" s="7" t="inlineStr">
        <is>
          <t>Glass</t>
        </is>
      </c>
      <c r="AZ116" s="7" t="n">
        <v>16.4</v>
      </c>
      <c r="BA116" s="7" t="inlineStr">
        <is>
          <t xml:space="preserve"> 内本町2‐3‐8</t>
        </is>
      </c>
      <c r="BB116" s="7"/>
      <c r="BC116" s="7"/>
      <c r="BD116" s="7"/>
    </row>
    <row r="117" customHeight="true" ht="33.0">
      <c r="A117" s="13" t="inlineStr">
        <is>
          <t>DIDA</t>
        </is>
      </c>
      <c r="B117" s="14"/>
      <c r="C117" s="15" t="inlineStr">
        <is>
          <t>365027493165</t>
        </is>
      </c>
      <c r="D117" s="15" t="inlineStr">
        <is>
          <t>365027493165</t>
        </is>
      </c>
      <c r="E117" s="7" t="n">
        <v>1.0</v>
      </c>
      <c r="F117" s="11" t="n">
        <v>0.2</v>
      </c>
      <c r="G117" s="7" t="inlineStr">
        <is>
          <t>KGM</t>
        </is>
      </c>
      <c r="H117" s="16" t="n">
        <f>UPPER(AX117)</f>
        <v>0.0</v>
      </c>
      <c r="I117" s="16" t="n">
        <f>UPPER(AY117)</f>
        <v>0.0</v>
      </c>
      <c r="J117" s="16" t="inlineStr">
        <is>
          <t>杉本 紘史</t>
        </is>
      </c>
      <c r="K117" s="25" t="n">
        <f>UPPER(J117)</f>
        <v>0.0</v>
      </c>
      <c r="L117" s="25"/>
      <c r="M117" s="26" t="n">
        <f>AU117&amp;AV117&amp;AW117&amp;BD117</f>
        <v>0.0</v>
      </c>
      <c r="N117" s="27" t="n">
        <f>UPPER(M117)</f>
        <v>0.0</v>
      </c>
      <c r="O117" s="28" t="n">
        <f>MID(N117,MIN(IFERROR(FIND({0,1,2,3,4,5,6,7,8,9},N117),LEN(N117)+1)),LEN(N117))</f>
        <v>0.0</v>
      </c>
      <c r="P117" s="28" t="n">
        <f>L117&amp;" "&amp;O117</f>
        <v>0.0</v>
      </c>
      <c r="Q117" s="27" t="inlineStr">
        <is>
          <t>634-0805</t>
        </is>
      </c>
      <c r="R117" s="30" t="inlineStr">
        <is>
          <t>0744-35-3895</t>
        </is>
      </c>
      <c r="S117" s="31" t="inlineStr">
        <is>
          <t xml:space="preserve">HUI ZHOU JING SHAN GONG MAO YOU XIAN GONG SI </t>
        </is>
      </c>
      <c r="T117" s="31" t="inlineStr">
        <is>
          <t>GUANG DONG SHENG HUI ZHOU SHI HUI CHENG QU QIAO DONG JIE DAO HUI ZHOU SHI HUI ZHOU DA DAO 108 HAO</t>
        </is>
      </c>
      <c r="U117" s="32" t="inlineStr">
        <is>
          <t>C&amp;F</t>
        </is>
      </c>
      <c r="V117" s="32" t="inlineStr">
        <is>
          <t>JPY</t>
        </is>
      </c>
      <c r="W117" s="33"/>
      <c r="X117" s="34" t="n">
        <f>INT(AZ117)</f>
        <v>0.0</v>
      </c>
      <c r="Y117" s="32" t="inlineStr">
        <is>
          <t>A</t>
        </is>
      </c>
      <c r="Z117" s="32" t="inlineStr">
        <is>
          <t>JPY</t>
        </is>
      </c>
      <c r="AA117" s="32"/>
      <c r="AB117" s="32" t="inlineStr">
        <is>
          <t>CN</t>
        </is>
      </c>
      <c r="AD117" s="27" t="inlineStr">
        <is>
          <t>杉本 紘史</t>
        </is>
      </c>
      <c r="AE117" s="7" t="n">
        <f>AU117&amp;AV117&amp;AW117&amp;BD117</f>
        <v>0.0</v>
      </c>
      <c r="AF117" s="7" t="inlineStr">
        <is>
          <t>0744-35-3895</t>
        </is>
      </c>
      <c r="AG117" s="7" t="inlineStr">
        <is>
          <t>634-0805</t>
        </is>
      </c>
      <c r="AH117" s="7" t="inlineStr">
        <is>
          <t>ラッキーストライク</t>
        </is>
      </c>
      <c r="AI117" s="7" t="n">
        <f>BB117&amp;BC117&amp;BA117</f>
        <v>0.0</v>
      </c>
      <c r="AJ117" s="7" t="inlineStr">
        <is>
          <t xml:space="preserve"> 05030911547</t>
        </is>
      </c>
      <c r="AK117" s="39" t="inlineStr">
        <is>
          <t>C</t>
        </is>
      </c>
      <c r="AL117" s="39" t="n">
        <v>1.0</v>
      </c>
      <c r="AM117" s="27" t="n">
        <f>IF(OR(ISNUMBER(SEARCH("amazon",AH117)),ISNUMBER(SEARCH("亚马逊",AH117))),"PUS001",IF(OR(ISNUMBER(SEARCH("rakuten",AH117)),ISNUMBER(SEARCH("楽天",AH117)),ISNUMBER(SEARCH("乐天",AH117))),"PJP001",IF(ISNUMBER(SEARCH("tik tok shop",AH117)),"PSG003",IF(ISNUMBER(SEARCH("temu",AH117)),"PSG001",IF(ISNUMBER(SEARCH("shein",AH117)),"JSG001",IF(OR(ISNUMBER(SEARCH("yahoo",AH117)),ISNUMBER(SEARCH("雅虎",AH117)),ISNUMBER(SEARCH("雅",AH117)),LEFT(UPPER(AH117),1)="Y"),"PJP005",IF(ISNUMBER(SEARCH("DDA JAPAN",AH117)),CHOOSE(RANDBETWEEN(1,3),"temu","PSG003","PSG001"),"JCNZZZ")))))))</f>
        <v>0.0</v>
      </c>
      <c r="AN117" s="7" t="n">
        <f>IF(ISNUMBER(SEARCH("JCNZZZ",AM117)),CHOOSE(RANDBETWEEN(1,4),"TAOBAO0","JinDdong","PingDduoDduo","ALIBABA"),"")</f>
        <v>0.0</v>
      </c>
      <c r="AU117" s="7" t="inlineStr">
        <is>
          <t>奈良県</t>
        </is>
      </c>
      <c r="AV117" s="7" t="inlineStr">
        <is>
          <t>橿原市</t>
        </is>
      </c>
      <c r="AW117" s="7" t="inlineStr">
        <is>
          <t>地黄町82-31</t>
        </is>
      </c>
      <c r="AX117" s="7" t="inlineStr">
        <is>
          <t>Polishing paste</t>
        </is>
      </c>
      <c r="AY117" s="7" t="inlineStr">
        <is>
          <t>Alumina</t>
        </is>
      </c>
      <c r="AZ117" s="7" t="n">
        <v>12.0</v>
      </c>
      <c r="BA117" s="7" t="inlineStr">
        <is>
          <t xml:space="preserve"> 東京都西多摩郡奥多摩町留浦１０１８</t>
        </is>
      </c>
      <c r="BB117" s="7"/>
      <c r="BC117" s="7"/>
      <c r="BD117" s="7"/>
    </row>
    <row r="118" customHeight="true" ht="33.0">
      <c r="A118" s="13" t="inlineStr">
        <is>
          <t>DIDA</t>
        </is>
      </c>
      <c r="B118" s="14"/>
      <c r="C118" s="15" t="inlineStr">
        <is>
          <t>365027493014</t>
        </is>
      </c>
      <c r="D118" s="15" t="inlineStr">
        <is>
          <t>365027493014</t>
        </is>
      </c>
      <c r="E118" s="7" t="n">
        <v>1.0</v>
      </c>
      <c r="F118" s="11" t="n">
        <v>0.58</v>
      </c>
      <c r="G118" s="7" t="inlineStr">
        <is>
          <t>KGM</t>
        </is>
      </c>
      <c r="H118" s="16" t="n">
        <f>UPPER(AX118)</f>
        <v>0.0</v>
      </c>
      <c r="I118" s="16" t="n">
        <f>UPPER(AY118)</f>
        <v>0.0</v>
      </c>
      <c r="J118" s="16" t="inlineStr">
        <is>
          <t>西間木 恵 [ニシマギ メグミ]</t>
        </is>
      </c>
      <c r="K118" s="25" t="n">
        <f>UPPER(J118)</f>
        <v>0.0</v>
      </c>
      <c r="L118" s="25"/>
      <c r="M118" s="26" t="n">
        <f>AU118&amp;AV118&amp;AW118&amp;BD118</f>
        <v>0.0</v>
      </c>
      <c r="N118" s="27" t="n">
        <f>UPPER(M118)</f>
        <v>0.0</v>
      </c>
      <c r="O118" s="28" t="n">
        <f>MID(N118,MIN(IFERROR(FIND({0,1,2,3,4,5,6,7,8,9},N118),LEN(N118)+1)),LEN(N118))</f>
        <v>0.0</v>
      </c>
      <c r="P118" s="28" t="n">
        <f>L118&amp;" "&amp;O118</f>
        <v>0.0</v>
      </c>
      <c r="Q118" s="27" t="inlineStr">
        <is>
          <t>324-0206</t>
        </is>
      </c>
      <c r="R118" s="30" t="inlineStr">
        <is>
          <t>090-2526-1670</t>
        </is>
      </c>
      <c r="S118" s="31" t="inlineStr">
        <is>
          <t xml:space="preserve">HUI ZHOU JING SHAN GONG MAO YOU XIAN GONG SI </t>
        </is>
      </c>
      <c r="T118" s="31" t="inlineStr">
        <is>
          <t>GUANG DONG SHENG HUI ZHOU SHI HUI CHENG QU QIAO DONG JIE DAO HUI ZHOU SHI HUI ZHOU DA DAO 108 HAO</t>
        </is>
      </c>
      <c r="U118" s="32" t="inlineStr">
        <is>
          <t>C&amp;F</t>
        </is>
      </c>
      <c r="V118" s="32" t="inlineStr">
        <is>
          <t>JPY</t>
        </is>
      </c>
      <c r="W118" s="33"/>
      <c r="X118" s="34" t="n">
        <f>INT(AZ118)</f>
        <v>0.0</v>
      </c>
      <c r="Y118" s="32" t="inlineStr">
        <is>
          <t>A</t>
        </is>
      </c>
      <c r="Z118" s="32" t="inlineStr">
        <is>
          <t>JPY</t>
        </is>
      </c>
      <c r="AA118" s="32"/>
      <c r="AB118" s="32" t="inlineStr">
        <is>
          <t>CN</t>
        </is>
      </c>
      <c r="AD118" s="27" t="inlineStr">
        <is>
          <t>西間木 恵 [ニシマギ メグミ]</t>
        </is>
      </c>
      <c r="AE118" s="7" t="n">
        <f>AU118&amp;AV118&amp;AW118&amp;BD118</f>
        <v>0.0</v>
      </c>
      <c r="AF118" s="7" t="inlineStr">
        <is>
          <t>090-2526-1670</t>
        </is>
      </c>
      <c r="AG118" s="7" t="inlineStr">
        <is>
          <t>324-0206</t>
        </is>
      </c>
      <c r="AH118" s="7" t="inlineStr">
        <is>
          <t>楽天-OBSESSION-L</t>
        </is>
      </c>
      <c r="AI118" s="7" t="n">
        <f>BB118&amp;BC118&amp;BA118</f>
        <v>0.0</v>
      </c>
      <c r="AJ118" s="7" t="inlineStr">
        <is>
          <t xml:space="preserve"> 05036359867</t>
        </is>
      </c>
      <c r="AK118" s="39" t="inlineStr">
        <is>
          <t>C</t>
        </is>
      </c>
      <c r="AL118" s="39" t="n">
        <v>1.0</v>
      </c>
      <c r="AM118" s="27" t="n">
        <f>IF(OR(ISNUMBER(SEARCH("amazon",AH118)),ISNUMBER(SEARCH("亚马逊",AH118))),"PUS001",IF(OR(ISNUMBER(SEARCH("rakuten",AH118)),ISNUMBER(SEARCH("楽天",AH118)),ISNUMBER(SEARCH("乐天",AH118))),"PJP001",IF(ISNUMBER(SEARCH("tik tok shop",AH118)),"PSG003",IF(ISNUMBER(SEARCH("temu",AH118)),"PSG001",IF(ISNUMBER(SEARCH("shein",AH118)),"JSG001",IF(OR(ISNUMBER(SEARCH("yahoo",AH118)),ISNUMBER(SEARCH("雅虎",AH118)),ISNUMBER(SEARCH("雅",AH118)),LEFT(UPPER(AH118),1)="Y"),"PJP005",IF(ISNUMBER(SEARCH("DDA JAPAN",AH118)),CHOOSE(RANDBETWEEN(1,3),"temu","PSG003","PSG001"),"JCNZZZ")))))))</f>
        <v>0.0</v>
      </c>
      <c r="AN118" s="7" t="n">
        <f>IF(ISNUMBER(SEARCH("JCNZZZ",AM118)),CHOOSE(RANDBETWEEN(1,4),"TAOBAO0","JinDdong","PingDduoDduo","ALIBABA"),"")</f>
        <v>0.0</v>
      </c>
      <c r="AU118" s="7" t="inlineStr">
        <is>
          <t>栃木県</t>
        </is>
      </c>
      <c r="AV118" s="7" t="inlineStr">
        <is>
          <t>大田原市</t>
        </is>
      </c>
      <c r="AW118" s="7" t="inlineStr">
        <is>
          <t>中野内1879の3</t>
        </is>
      </c>
      <c r="AX118" s="7" t="inlineStr">
        <is>
          <t>Fan</t>
        </is>
      </c>
      <c r="AY118" s="7" t="inlineStr">
        <is>
          <t>ABS</t>
        </is>
      </c>
      <c r="AZ118" s="7" t="n">
        <v>15.0</v>
      </c>
      <c r="BA118" s="7" t="inlineStr">
        <is>
          <t xml:space="preserve"> 西成区北津守４－１３－４３</t>
        </is>
      </c>
      <c r="BB118" s="7"/>
      <c r="BC118" s="7"/>
      <c r="BD118" s="7"/>
    </row>
    <row r="119" customHeight="true" ht="33.0">
      <c r="A119" s="13" t="inlineStr">
        <is>
          <t>DIDA</t>
        </is>
      </c>
      <c r="B119" s="14"/>
      <c r="C119" s="15" t="inlineStr">
        <is>
          <t>365027493235</t>
        </is>
      </c>
      <c r="D119" s="15" t="inlineStr">
        <is>
          <t>365027493235</t>
        </is>
      </c>
      <c r="E119" s="7" t="n">
        <v>1.0</v>
      </c>
      <c r="F119" s="11" t="n">
        <v>0.4</v>
      </c>
      <c r="G119" s="7" t="inlineStr">
        <is>
          <t>KGM</t>
        </is>
      </c>
      <c r="H119" s="16" t="n">
        <f>UPPER(AX119)</f>
        <v>0.0</v>
      </c>
      <c r="I119" s="16" t="n">
        <f>UPPER(AY119)</f>
        <v>0.0</v>
      </c>
      <c r="J119" s="16" t="inlineStr">
        <is>
          <t>株式会社ナガワ つくば営業所</t>
        </is>
      </c>
      <c r="K119" s="25" t="n">
        <f>UPPER(J119)</f>
        <v>0.0</v>
      </c>
      <c r="L119" s="25"/>
      <c r="M119" s="26" t="n">
        <f>AU119&amp;AV119&amp;AW119&amp;BD119</f>
        <v>0.0</v>
      </c>
      <c r="N119" s="27" t="n">
        <f>UPPER(M119)</f>
        <v>0.0</v>
      </c>
      <c r="O119" s="28" t="n">
        <f>MID(N119,MIN(IFERROR(FIND({0,1,2,3,4,5,6,7,8,9},N119),LEN(N119)+1)),LEN(N119))</f>
        <v>0.0</v>
      </c>
      <c r="P119" s="28" t="n">
        <f>L119&amp;" "&amp;O119</f>
        <v>0.0</v>
      </c>
      <c r="Q119" s="27" t="inlineStr">
        <is>
          <t>305-0868</t>
        </is>
      </c>
      <c r="R119" s="30" t="inlineStr">
        <is>
          <t>029-836-7502</t>
        </is>
      </c>
      <c r="S119" s="31" t="inlineStr">
        <is>
          <t xml:space="preserve">HUI ZHOU JING SHAN GONG MAO YOU XIAN GONG SI </t>
        </is>
      </c>
      <c r="T119" s="31" t="inlineStr">
        <is>
          <t>GUANG DONG SHENG HUI ZHOU SHI HUI CHENG QU QIAO DONG JIE DAO HUI ZHOU SHI HUI ZHOU DA DAO 108 HAO</t>
        </is>
      </c>
      <c r="U119" s="32" t="inlineStr">
        <is>
          <t>C&amp;F</t>
        </is>
      </c>
      <c r="V119" s="32" t="inlineStr">
        <is>
          <t>JPY</t>
        </is>
      </c>
      <c r="W119" s="33"/>
      <c r="X119" s="34" t="n">
        <f>INT(AZ119)</f>
        <v>0.0</v>
      </c>
      <c r="Y119" s="32" t="inlineStr">
        <is>
          <t>A</t>
        </is>
      </c>
      <c r="Z119" s="32" t="inlineStr">
        <is>
          <t>JPY</t>
        </is>
      </c>
      <c r="AA119" s="32"/>
      <c r="AB119" s="32" t="inlineStr">
        <is>
          <t>CN</t>
        </is>
      </c>
      <c r="AD119" s="27" t="inlineStr">
        <is>
          <t>株式会社ナガワ つくば営業所</t>
        </is>
      </c>
      <c r="AE119" s="7" t="n">
        <f>AU119&amp;AV119&amp;AW119&amp;BD119</f>
        <v>0.0</v>
      </c>
      <c r="AF119" s="7" t="inlineStr">
        <is>
          <t>029-836-7502</t>
        </is>
      </c>
      <c r="AG119" s="7" t="inlineStr">
        <is>
          <t>305-0868</t>
        </is>
      </c>
      <c r="AH119" s="7" t="inlineStr">
        <is>
          <t>楽天-KAMCITY-L</t>
        </is>
      </c>
      <c r="AI119" s="7" t="n">
        <f>BB119&amp;BC119&amp;BA119</f>
        <v>0.0</v>
      </c>
      <c r="AJ119" s="7" t="inlineStr">
        <is>
          <t xml:space="preserve"> 070-1432-7896</t>
        </is>
      </c>
      <c r="AK119" s="39" t="inlineStr">
        <is>
          <t>C</t>
        </is>
      </c>
      <c r="AL119" s="39" t="n">
        <v>1.0</v>
      </c>
      <c r="AM119" s="27" t="n">
        <f>IF(OR(ISNUMBER(SEARCH("amazon",AH119)),ISNUMBER(SEARCH("亚马逊",AH119))),"PUS001",IF(OR(ISNUMBER(SEARCH("rakuten",AH119)),ISNUMBER(SEARCH("楽天",AH119)),ISNUMBER(SEARCH("乐天",AH119))),"PJP001",IF(ISNUMBER(SEARCH("tik tok shop",AH119)),"PSG003",IF(ISNUMBER(SEARCH("temu",AH119)),"PSG001",IF(ISNUMBER(SEARCH("shein",AH119)),"JSG001",IF(OR(ISNUMBER(SEARCH("yahoo",AH119)),ISNUMBER(SEARCH("雅虎",AH119)),ISNUMBER(SEARCH("雅",AH119)),LEFT(UPPER(AH119),1)="Y"),"PJP005",IF(ISNUMBER(SEARCH("DDA JAPAN",AH119)),CHOOSE(RANDBETWEEN(1,3),"temu","PSG003","PSG001"),"JCNZZZ")))))))</f>
        <v>0.0</v>
      </c>
      <c r="AN119" s="7" t="n">
        <f>IF(ISNUMBER(SEARCH("JCNZZZ",AM119)),CHOOSE(RANDBETWEEN(1,4),"TAOBAO0","JinDdong","PingDduoDduo","ALIBABA"),"")</f>
        <v>0.0</v>
      </c>
      <c r="AU119" s="7" t="inlineStr">
        <is>
          <t>茨城県</t>
        </is>
      </c>
      <c r="AV119" s="7" t="inlineStr">
        <is>
          <t>つくば市</t>
        </is>
      </c>
      <c r="AW119" s="7" t="inlineStr">
        <is>
          <t>台町1-9-1</t>
        </is>
      </c>
      <c r="AX119" s="7" t="inlineStr">
        <is>
          <t>Outdoor Light</t>
        </is>
      </c>
      <c r="AY119" s="7" t="inlineStr">
        <is>
          <t>ABS</t>
        </is>
      </c>
      <c r="AZ119" s="7" t="n">
        <v>9.63</v>
      </c>
      <c r="BA119" s="7" t="inlineStr">
        <is>
          <t xml:space="preserve"> 内本町2‐3‐8</t>
        </is>
      </c>
      <c r="BB119" s="7"/>
      <c r="BC119" s="7"/>
      <c r="BD119" s="7"/>
    </row>
    <row r="120" customHeight="true" ht="33.0">
      <c r="A120" s="13" t="inlineStr">
        <is>
          <t>DIDA</t>
        </is>
      </c>
      <c r="B120" s="14"/>
      <c r="C120" s="15" t="inlineStr">
        <is>
          <t>365027493471</t>
        </is>
      </c>
      <c r="D120" s="15" t="inlineStr">
        <is>
          <t>365027493471</t>
        </is>
      </c>
      <c r="E120" s="7" t="n">
        <v>1.0</v>
      </c>
      <c r="F120" s="11" t="n">
        <v>0.61</v>
      </c>
      <c r="G120" s="7" t="inlineStr">
        <is>
          <t>KGM</t>
        </is>
      </c>
      <c r="H120" s="16" t="n">
        <f>UPPER(AX120)</f>
        <v>0.0</v>
      </c>
      <c r="I120" s="16" t="n">
        <f>UPPER(AY120)</f>
        <v>0.0</v>
      </c>
      <c r="J120" s="16" t="inlineStr">
        <is>
          <t>松原 光雄 [マツバラ ミツオ]</t>
        </is>
      </c>
      <c r="K120" s="25" t="n">
        <f>UPPER(J120)</f>
        <v>0.0</v>
      </c>
      <c r="L120" s="25"/>
      <c r="M120" s="26" t="n">
        <f>AU120&amp;AV120&amp;AW120&amp;BD120</f>
        <v>0.0</v>
      </c>
      <c r="N120" s="27" t="n">
        <f>UPPER(M120)</f>
        <v>0.0</v>
      </c>
      <c r="O120" s="28" t="n">
        <f>MID(N120,MIN(IFERROR(FIND({0,1,2,3,4,5,6,7,8,9},N120),LEN(N120)+1)),LEN(N120))</f>
        <v>0.0</v>
      </c>
      <c r="P120" s="28" t="n">
        <f>L120&amp;" "&amp;O120</f>
        <v>0.0</v>
      </c>
      <c r="Q120" s="27" t="inlineStr">
        <is>
          <t>007-0829</t>
        </is>
      </c>
      <c r="R120" s="30" t="inlineStr">
        <is>
          <t>090-3115-5260</t>
        </is>
      </c>
      <c r="S120" s="31" t="inlineStr">
        <is>
          <t xml:space="preserve">HUI ZHOU JING SHAN GONG MAO YOU XIAN GONG SI </t>
        </is>
      </c>
      <c r="T120" s="31" t="inlineStr">
        <is>
          <t>GUANG DONG SHENG HUI ZHOU SHI HUI CHENG QU QIAO DONG JIE DAO HUI ZHOU SHI HUI ZHOU DA DAO 108 HAO</t>
        </is>
      </c>
      <c r="U120" s="32" t="inlineStr">
        <is>
          <t>C&amp;F</t>
        </is>
      </c>
      <c r="V120" s="32" t="inlineStr">
        <is>
          <t>JPY</t>
        </is>
      </c>
      <c r="W120" s="33"/>
      <c r="X120" s="34" t="n">
        <f>INT(AZ120)</f>
        <v>0.0</v>
      </c>
      <c r="Y120" s="32" t="inlineStr">
        <is>
          <t>A</t>
        </is>
      </c>
      <c r="Z120" s="32" t="inlineStr">
        <is>
          <t>JPY</t>
        </is>
      </c>
      <c r="AA120" s="32"/>
      <c r="AB120" s="32" t="inlineStr">
        <is>
          <t>CN</t>
        </is>
      </c>
      <c r="AD120" s="27" t="inlineStr">
        <is>
          <t>松原 光雄 [マツバラ ミツオ]</t>
        </is>
      </c>
      <c r="AE120" s="7" t="n">
        <f>AU120&amp;AV120&amp;AW120&amp;BD120</f>
        <v>0.0</v>
      </c>
      <c r="AF120" s="7" t="inlineStr">
        <is>
          <t>090-3115-5260</t>
        </is>
      </c>
      <c r="AG120" s="7" t="inlineStr">
        <is>
          <t>007-0829</t>
        </is>
      </c>
      <c r="AH120" s="7" t="inlineStr">
        <is>
          <t>楽天-sepco</t>
        </is>
      </c>
      <c r="AI120" s="7" t="n">
        <f>BB120&amp;BC120&amp;BA120</f>
        <v>0.0</v>
      </c>
      <c r="AJ120" s="7" t="inlineStr">
        <is>
          <t xml:space="preserve"> 070-5589-7493</t>
        </is>
      </c>
      <c r="AK120" s="39" t="inlineStr">
        <is>
          <t>C</t>
        </is>
      </c>
      <c r="AL120" s="39" t="n">
        <v>1.0</v>
      </c>
      <c r="AM120" s="27" t="n">
        <f>IF(OR(ISNUMBER(SEARCH("amazon",AH120)),ISNUMBER(SEARCH("亚马逊",AH120))),"PUS001",IF(OR(ISNUMBER(SEARCH("rakuten",AH120)),ISNUMBER(SEARCH("楽天",AH120)),ISNUMBER(SEARCH("乐天",AH120))),"PJP001",IF(ISNUMBER(SEARCH("tik tok shop",AH120)),"PSG003",IF(ISNUMBER(SEARCH("temu",AH120)),"PSG001",IF(ISNUMBER(SEARCH("shein",AH120)),"JSG001",IF(OR(ISNUMBER(SEARCH("yahoo",AH120)),ISNUMBER(SEARCH("雅虎",AH120)),ISNUMBER(SEARCH("雅",AH120)),LEFT(UPPER(AH120),1)="Y"),"PJP005",IF(ISNUMBER(SEARCH("DDA JAPAN",AH120)),CHOOSE(RANDBETWEEN(1,3),"temu","PSG003","PSG001"),"JCNZZZ")))))))</f>
        <v>0.0</v>
      </c>
      <c r="AN120" s="7" t="n">
        <f>IF(ISNUMBER(SEARCH("JCNZZZ",AM120)),CHOOSE(RANDBETWEEN(1,4),"TAOBAO0","JinDdong","PingDduoDduo","ALIBABA"),"")</f>
        <v>0.0</v>
      </c>
      <c r="AU120" s="7" t="inlineStr">
        <is>
          <t>北海道</t>
        </is>
      </c>
      <c r="AV120" s="7" t="inlineStr">
        <is>
          <t>札幌市東区</t>
        </is>
      </c>
      <c r="AW120" s="7" t="inlineStr">
        <is>
          <t>東雁来九条2丁目11-18</t>
        </is>
      </c>
      <c r="AX120" s="7" t="inlineStr">
        <is>
          <t>COAT</t>
        </is>
      </c>
      <c r="AY120" s="7" t="inlineStr">
        <is>
          <t>cotton</t>
        </is>
      </c>
      <c r="AZ120" s="7" t="n">
        <v>4.87</v>
      </c>
      <c r="BA120" s="7" t="inlineStr">
        <is>
          <t xml:space="preserve"> 中区大手町1-1-26-305大手町一番ビル</t>
        </is>
      </c>
      <c r="BB120" s="7"/>
      <c r="BC120" s="7"/>
      <c r="BD120" s="7"/>
    </row>
    <row r="121" customHeight="true" ht="33.0">
      <c r="A121" s="13" t="inlineStr">
        <is>
          <t>DIDA</t>
        </is>
      </c>
      <c r="B121" s="14"/>
      <c r="C121" s="15" t="inlineStr">
        <is>
          <t>365027493003</t>
        </is>
      </c>
      <c r="D121" s="15" t="inlineStr">
        <is>
          <t>365027493003</t>
        </is>
      </c>
      <c r="E121" s="7" t="n">
        <v>1.0</v>
      </c>
      <c r="F121" s="11" t="n">
        <v>0.58</v>
      </c>
      <c r="G121" s="7" t="inlineStr">
        <is>
          <t>KGM</t>
        </is>
      </c>
      <c r="H121" s="16" t="n">
        <f>UPPER(AX121)</f>
        <v>0.0</v>
      </c>
      <c r="I121" s="16" t="n">
        <f>UPPER(AY121)</f>
        <v>0.0</v>
      </c>
      <c r="J121" s="16" t="inlineStr">
        <is>
          <t>渡辺 琴美 [ワタナベ コトミ]</t>
        </is>
      </c>
      <c r="K121" s="25" t="n">
        <f>UPPER(J121)</f>
        <v>0.0</v>
      </c>
      <c r="L121" s="25"/>
      <c r="M121" s="26" t="n">
        <f>AU121&amp;AV121&amp;AW121&amp;BD121</f>
        <v>0.0</v>
      </c>
      <c r="N121" s="27" t="n">
        <f>UPPER(M121)</f>
        <v>0.0</v>
      </c>
      <c r="O121" s="28" t="n">
        <f>MID(N121,MIN(IFERROR(FIND({0,1,2,3,4,5,6,7,8,9},N121),LEN(N121)+1)),LEN(N121))</f>
        <v>0.0</v>
      </c>
      <c r="P121" s="28" t="n">
        <f>L121&amp;" "&amp;O121</f>
        <v>0.0</v>
      </c>
      <c r="Q121" s="27" t="inlineStr">
        <is>
          <t>692-0012</t>
        </is>
      </c>
      <c r="R121" s="30" t="inlineStr">
        <is>
          <t>090-6903-6070</t>
        </is>
      </c>
      <c r="S121" s="31" t="inlineStr">
        <is>
          <t xml:space="preserve">HUI ZHOU JING SHAN GONG MAO YOU XIAN GONG SI </t>
        </is>
      </c>
      <c r="T121" s="31" t="inlineStr">
        <is>
          <t>GUANG DONG SHENG HUI ZHOU SHI HUI CHENG QU QIAO DONG JIE DAO HUI ZHOU SHI HUI ZHOU DA DAO 108 HAO</t>
        </is>
      </c>
      <c r="U121" s="32" t="inlineStr">
        <is>
          <t>C&amp;F</t>
        </is>
      </c>
      <c r="V121" s="32" t="inlineStr">
        <is>
          <t>JPY</t>
        </is>
      </c>
      <c r="W121" s="33"/>
      <c r="X121" s="34" t="n">
        <f>INT(AZ121)</f>
        <v>0.0</v>
      </c>
      <c r="Y121" s="32" t="inlineStr">
        <is>
          <t>A</t>
        </is>
      </c>
      <c r="Z121" s="32" t="inlineStr">
        <is>
          <t>JPY</t>
        </is>
      </c>
      <c r="AA121" s="32"/>
      <c r="AB121" s="32" t="inlineStr">
        <is>
          <t>CN</t>
        </is>
      </c>
      <c r="AD121" s="27" t="inlineStr">
        <is>
          <t>渡辺 琴美 [ワタナベ コトミ]</t>
        </is>
      </c>
      <c r="AE121" s="7" t="n">
        <f>AU121&amp;AV121&amp;AW121&amp;BD121</f>
        <v>0.0</v>
      </c>
      <c r="AF121" s="7" t="inlineStr">
        <is>
          <t>090-6903-6070</t>
        </is>
      </c>
      <c r="AG121" s="7" t="inlineStr">
        <is>
          <t>692-0012</t>
        </is>
      </c>
      <c r="AH121" s="7" t="inlineStr">
        <is>
          <t>楽天-OBSESSION-L</t>
        </is>
      </c>
      <c r="AI121" s="7" t="n">
        <f>BB121&amp;BC121&amp;BA121</f>
        <v>0.0</v>
      </c>
      <c r="AJ121" s="7" t="inlineStr">
        <is>
          <t xml:space="preserve"> 05036359867</t>
        </is>
      </c>
      <c r="AK121" s="39" t="inlineStr">
        <is>
          <t>C</t>
        </is>
      </c>
      <c r="AL121" s="39" t="n">
        <v>1.0</v>
      </c>
      <c r="AM121" s="27" t="n">
        <f>IF(OR(ISNUMBER(SEARCH("amazon",AH121)),ISNUMBER(SEARCH("亚马逊",AH121))),"PUS001",IF(OR(ISNUMBER(SEARCH("rakuten",AH121)),ISNUMBER(SEARCH("楽天",AH121)),ISNUMBER(SEARCH("乐天",AH121))),"PJP001",IF(ISNUMBER(SEARCH("tik tok shop",AH121)),"PSG003",IF(ISNUMBER(SEARCH("temu",AH121)),"PSG001",IF(ISNUMBER(SEARCH("shein",AH121)),"JSG001",IF(OR(ISNUMBER(SEARCH("yahoo",AH121)),ISNUMBER(SEARCH("雅虎",AH121)),ISNUMBER(SEARCH("雅",AH121)),LEFT(UPPER(AH121),1)="Y"),"PJP005",IF(ISNUMBER(SEARCH("DDA JAPAN",AH121)),CHOOSE(RANDBETWEEN(1,3),"temu","PSG003","PSG001"),"JCNZZZ")))))))</f>
        <v>0.0</v>
      </c>
      <c r="AN121" s="7" t="n">
        <f>IF(ISNUMBER(SEARCH("JCNZZZ",AM121)),CHOOSE(RANDBETWEEN(1,4),"TAOBAO0","JinDdong","PingDduoDduo","ALIBABA"),"")</f>
        <v>0.0</v>
      </c>
      <c r="AU121" s="7" t="inlineStr">
        <is>
          <t>島根県</t>
        </is>
      </c>
      <c r="AV121" s="7" t="inlineStr">
        <is>
          <t>安来市</t>
        </is>
      </c>
      <c r="AW121" s="7" t="inlineStr">
        <is>
          <t>宮内町318番地7</t>
        </is>
      </c>
      <c r="AX121" s="7" t="inlineStr">
        <is>
          <t>Fan</t>
        </is>
      </c>
      <c r="AY121" s="7" t="inlineStr">
        <is>
          <t>ABS</t>
        </is>
      </c>
      <c r="AZ121" s="7" t="n">
        <v>15.0</v>
      </c>
      <c r="BA121" s="7" t="inlineStr">
        <is>
          <t xml:space="preserve"> 西成区北津守４－１３－４３</t>
        </is>
      </c>
      <c r="BB121" s="7"/>
      <c r="BC121" s="7"/>
      <c r="BD121" s="7"/>
    </row>
    <row r="122" customHeight="true" ht="33.0">
      <c r="A122" s="13" t="inlineStr">
        <is>
          <t>DIDA</t>
        </is>
      </c>
      <c r="B122" s="14"/>
      <c r="C122" s="15" t="inlineStr">
        <is>
          <t>365027492756</t>
        </is>
      </c>
      <c r="D122" s="15" t="inlineStr">
        <is>
          <t>365027492756</t>
        </is>
      </c>
      <c r="E122" s="7" t="n">
        <v>1.0</v>
      </c>
      <c r="F122" s="11" t="n">
        <v>0.33</v>
      </c>
      <c r="G122" s="7" t="inlineStr">
        <is>
          <t>KGM</t>
        </is>
      </c>
      <c r="H122" s="16" t="n">
        <f>UPPER(AX122)</f>
        <v>0.0</v>
      </c>
      <c r="I122" s="16" t="n">
        <f>UPPER(AY122)</f>
        <v>0.0</v>
      </c>
      <c r="J122" s="16" t="inlineStr">
        <is>
          <t>合志 崇</t>
        </is>
      </c>
      <c r="K122" s="25" t="n">
        <f>UPPER(J122)</f>
        <v>0.0</v>
      </c>
      <c r="L122" s="25"/>
      <c r="M122" s="26" t="n">
        <f>AU122&amp;AV122&amp;AW122&amp;BD122</f>
        <v>0.0</v>
      </c>
      <c r="N122" s="27" t="n">
        <f>UPPER(M122)</f>
        <v>0.0</v>
      </c>
      <c r="O122" s="28" t="n">
        <f>MID(N122,MIN(IFERROR(FIND({0,1,2,3,4,5,6,7,8,9},N122),LEN(N122)+1)),LEN(N122))</f>
        <v>0.0</v>
      </c>
      <c r="P122" s="28" t="n">
        <f>L122&amp;" "&amp;O122</f>
        <v>0.0</v>
      </c>
      <c r="Q122" s="27" t="inlineStr">
        <is>
          <t>208-0031</t>
        </is>
      </c>
      <c r="R122" s="30" t="inlineStr">
        <is>
          <t>080-9861-4568</t>
        </is>
      </c>
      <c r="S122" s="31" t="inlineStr">
        <is>
          <t xml:space="preserve">HUI ZHOU JING SHAN GONG MAO YOU XIAN GONG SI </t>
        </is>
      </c>
      <c r="T122" s="31" t="inlineStr">
        <is>
          <t>GUANG DONG SHENG HUI ZHOU SHI HUI CHENG QU QIAO DONG JIE DAO HUI ZHOU SHI HUI ZHOU DA DAO 108 HAO</t>
        </is>
      </c>
      <c r="U122" s="32" t="inlineStr">
        <is>
          <t>C&amp;F</t>
        </is>
      </c>
      <c r="V122" s="32" t="inlineStr">
        <is>
          <t>JPY</t>
        </is>
      </c>
      <c r="W122" s="33"/>
      <c r="X122" s="34" t="n">
        <f>INT(AZ122)</f>
        <v>0.0</v>
      </c>
      <c r="Y122" s="32" t="inlineStr">
        <is>
          <t>A</t>
        </is>
      </c>
      <c r="Z122" s="32" t="inlineStr">
        <is>
          <t>JPY</t>
        </is>
      </c>
      <c r="AA122" s="32"/>
      <c r="AB122" s="32" t="inlineStr">
        <is>
          <t>CN</t>
        </is>
      </c>
      <c r="AD122" s="27" t="inlineStr">
        <is>
          <t>合志 崇</t>
        </is>
      </c>
      <c r="AE122" s="7" t="n">
        <f>AU122&amp;AV122&amp;AW122&amp;BD122</f>
        <v>0.0</v>
      </c>
      <c r="AF122" s="7" t="inlineStr">
        <is>
          <t>080-9861-4568</t>
        </is>
      </c>
      <c r="AG122" s="7" t="inlineStr">
        <is>
          <t>208-0031</t>
        </is>
      </c>
      <c r="AH122" s="7" t="inlineStr">
        <is>
          <t>UT.village</t>
        </is>
      </c>
      <c r="AI122" s="7" t="n">
        <f>BB122&amp;BC122&amp;BA122</f>
        <v>0.0</v>
      </c>
      <c r="AJ122" s="7" t="inlineStr">
        <is>
          <t xml:space="preserve"> 05030979484</t>
        </is>
      </c>
      <c r="AK122" s="39" t="inlineStr">
        <is>
          <t>C</t>
        </is>
      </c>
      <c r="AL122" s="39" t="n">
        <v>1.0</v>
      </c>
      <c r="AM122" s="27" t="n">
        <f>IF(OR(ISNUMBER(SEARCH("amazon",AH122)),ISNUMBER(SEARCH("亚马逊",AH122))),"PUS001",IF(OR(ISNUMBER(SEARCH("rakuten",AH122)),ISNUMBER(SEARCH("楽天",AH122)),ISNUMBER(SEARCH("乐天",AH122))),"PJP001",IF(ISNUMBER(SEARCH("tik tok shop",AH122)),"PSG003",IF(ISNUMBER(SEARCH("temu",AH122)),"PSG001",IF(ISNUMBER(SEARCH("shein",AH122)),"JSG001",IF(OR(ISNUMBER(SEARCH("yahoo",AH122)),ISNUMBER(SEARCH("雅虎",AH122)),ISNUMBER(SEARCH("雅",AH122)),LEFT(UPPER(AH122),1)="Y"),"PJP005",IF(ISNUMBER(SEARCH("DDA JAPAN",AH122)),CHOOSE(RANDBETWEEN(1,3),"temu","PSG003","PSG001"),"JCNZZZ")))))))</f>
        <v>0.0</v>
      </c>
      <c r="AN122" s="7" t="n">
        <f>IF(ISNUMBER(SEARCH("JCNZZZ",AM122)),CHOOSE(RANDBETWEEN(1,4),"TAOBAO0","JinDdong","PingDduoDduo","ALIBABA"),"")</f>
        <v>0.0</v>
      </c>
      <c r="AU122" s="7" t="inlineStr">
        <is>
          <t>東京都</t>
        </is>
      </c>
      <c r="AV122" s="7" t="inlineStr">
        <is>
          <t>武蔵村山市</t>
        </is>
      </c>
      <c r="AW122" s="7" t="inlineStr">
        <is>
          <t>岸 3-22-10 昭和コーポ武蔵村山1 101号室</t>
        </is>
      </c>
      <c r="AX122" s="7" t="inlineStr">
        <is>
          <t>Acrylic display stand</t>
        </is>
      </c>
      <c r="AY122" s="7" t="inlineStr">
        <is>
          <t>Acrylic</t>
        </is>
      </c>
      <c r="AZ122" s="7" t="n">
        <v>12.0</v>
      </c>
      <c r="BA122" s="7" t="inlineStr">
        <is>
          <t xml:space="preserve"> 神奈川県川崎市高津区下作延２－２２－５クレイノアクアパレス２０５</t>
        </is>
      </c>
      <c r="BB122" s="7"/>
      <c r="BC122" s="7"/>
      <c r="BD122" s="7"/>
    </row>
    <row r="123" customHeight="true" ht="33.0">
      <c r="A123" s="13" t="inlineStr">
        <is>
          <t>DIDA</t>
        </is>
      </c>
      <c r="B123" s="14"/>
      <c r="C123" s="15" t="inlineStr">
        <is>
          <t>365027491544</t>
        </is>
      </c>
      <c r="D123" s="15" t="inlineStr">
        <is>
          <t>365027491544</t>
        </is>
      </c>
      <c r="E123" s="7" t="n">
        <v>1.0</v>
      </c>
      <c r="F123" s="11" t="n">
        <v>0.63</v>
      </c>
      <c r="G123" s="7" t="inlineStr">
        <is>
          <t>KGM</t>
        </is>
      </c>
      <c r="H123" s="16" t="n">
        <f>UPPER(AX123)</f>
        <v>0.0</v>
      </c>
      <c r="I123" s="16" t="n">
        <f>UPPER(AY123)</f>
        <v>0.0</v>
      </c>
      <c r="J123" s="16" t="inlineStr">
        <is>
          <t>有原 優 [アリハラ ユウ]</t>
        </is>
      </c>
      <c r="K123" s="25" t="n">
        <f>UPPER(J123)</f>
        <v>0.0</v>
      </c>
      <c r="L123" s="25"/>
      <c r="M123" s="26" t="n">
        <f>AU123&amp;AV123&amp;AW123&amp;BD123</f>
        <v>0.0</v>
      </c>
      <c r="N123" s="27" t="n">
        <f>UPPER(M123)</f>
        <v>0.0</v>
      </c>
      <c r="O123" s="28" t="n">
        <f>MID(N123,MIN(IFERROR(FIND({0,1,2,3,4,5,6,7,8,9},N123),LEN(N123)+1)),LEN(N123))</f>
        <v>0.0</v>
      </c>
      <c r="P123" s="28" t="n">
        <f>L123&amp;" "&amp;O123</f>
        <v>0.0</v>
      </c>
      <c r="Q123" s="27" t="inlineStr">
        <is>
          <t>300-2359</t>
        </is>
      </c>
      <c r="R123" s="30" t="inlineStr">
        <is>
          <t>080-4177-0142</t>
        </is>
      </c>
      <c r="S123" s="31" t="inlineStr">
        <is>
          <t xml:space="preserve">HUI ZHOU JING SHAN GONG MAO YOU XIAN GONG SI </t>
        </is>
      </c>
      <c r="T123" s="31" t="inlineStr">
        <is>
          <t>GUANG DONG SHENG HUI ZHOU SHI HUI CHENG QU QIAO DONG JIE DAO HUI ZHOU SHI HUI ZHOU DA DAO 108 HAO</t>
        </is>
      </c>
      <c r="U123" s="32" t="inlineStr">
        <is>
          <t>C&amp;F</t>
        </is>
      </c>
      <c r="V123" s="32" t="inlineStr">
        <is>
          <t>JPY</t>
        </is>
      </c>
      <c r="W123" s="33"/>
      <c r="X123" s="34" t="n">
        <f>INT(AZ123)</f>
        <v>0.0</v>
      </c>
      <c r="Y123" s="32" t="inlineStr">
        <is>
          <t>A</t>
        </is>
      </c>
      <c r="Z123" s="32" t="inlineStr">
        <is>
          <t>JPY</t>
        </is>
      </c>
      <c r="AA123" s="32"/>
      <c r="AB123" s="32" t="inlineStr">
        <is>
          <t>CN</t>
        </is>
      </c>
      <c r="AD123" s="27" t="inlineStr">
        <is>
          <t>有原 優 [アリハラ ユウ]</t>
        </is>
      </c>
      <c r="AE123" s="7" t="n">
        <f>AU123&amp;AV123&amp;AW123&amp;BD123</f>
        <v>0.0</v>
      </c>
      <c r="AF123" s="7" t="inlineStr">
        <is>
          <t>080-4177-0142</t>
        </is>
      </c>
      <c r="AG123" s="7" t="inlineStr">
        <is>
          <t>300-2359</t>
        </is>
      </c>
      <c r="AH123" s="7" t="inlineStr">
        <is>
          <t>楽天-OBSESSION-L</t>
        </is>
      </c>
      <c r="AI123" s="7" t="n">
        <f>BB123&amp;BC123&amp;BA123</f>
        <v>0.0</v>
      </c>
      <c r="AJ123" s="7" t="inlineStr">
        <is>
          <t xml:space="preserve"> 05036359867</t>
        </is>
      </c>
      <c r="AK123" s="39" t="inlineStr">
        <is>
          <t>C</t>
        </is>
      </c>
      <c r="AL123" s="39" t="n">
        <v>1.0</v>
      </c>
      <c r="AM123" s="27" t="n">
        <f>IF(OR(ISNUMBER(SEARCH("amazon",AH123)),ISNUMBER(SEARCH("亚马逊",AH123))),"PUS001",IF(OR(ISNUMBER(SEARCH("rakuten",AH123)),ISNUMBER(SEARCH("楽天",AH123)),ISNUMBER(SEARCH("乐天",AH123))),"PJP001",IF(ISNUMBER(SEARCH("tik tok shop",AH123)),"PSG003",IF(ISNUMBER(SEARCH("temu",AH123)),"PSG001",IF(ISNUMBER(SEARCH("shein",AH123)),"JSG001",IF(OR(ISNUMBER(SEARCH("yahoo",AH123)),ISNUMBER(SEARCH("雅虎",AH123)),ISNUMBER(SEARCH("雅",AH123)),LEFT(UPPER(AH123),1)="Y"),"PJP005",IF(ISNUMBER(SEARCH("DDA JAPAN",AH123)),CHOOSE(RANDBETWEEN(1,3),"temu","PSG003","PSG001"),"JCNZZZ")))))))</f>
        <v>0.0</v>
      </c>
      <c r="AN123" s="7" t="n">
        <f>IF(ISNUMBER(SEARCH("JCNZZZ",AM123)),CHOOSE(RANDBETWEEN(1,4),"TAOBAO0","JinDdong","PingDduoDduo","ALIBABA"),"")</f>
        <v>0.0</v>
      </c>
      <c r="AU123" s="7" t="inlineStr">
        <is>
          <t>茨城県</t>
        </is>
      </c>
      <c r="AV123" s="7" t="inlineStr">
        <is>
          <t>つくばみらい市</t>
        </is>
      </c>
      <c r="AW123" s="7" t="inlineStr">
        <is>
          <t>紫峰ヶ丘5-14-2</t>
        </is>
      </c>
      <c r="AX123" s="7" t="inlineStr">
        <is>
          <t>notepad</t>
        </is>
      </c>
      <c r="AY123" s="7" t="inlineStr">
        <is>
          <t>paper</t>
        </is>
      </c>
      <c r="AZ123" s="7" t="n">
        <v>18.6</v>
      </c>
      <c r="BA123" s="7" t="inlineStr">
        <is>
          <t xml:space="preserve"> 西成区北津守４－１３－４３</t>
        </is>
      </c>
      <c r="BB123" s="7"/>
      <c r="BC123" s="7"/>
      <c r="BD123" s="7"/>
    </row>
    <row r="124" customHeight="true" ht="33.0">
      <c r="A124" s="13" t="inlineStr">
        <is>
          <t>DIDA</t>
        </is>
      </c>
      <c r="B124" s="14"/>
      <c r="C124" s="15" t="inlineStr">
        <is>
          <t>365008241776</t>
        </is>
      </c>
      <c r="D124" s="15" t="inlineStr">
        <is>
          <t>365008241776</t>
        </is>
      </c>
      <c r="E124" s="7" t="n">
        <v>1.0</v>
      </c>
      <c r="F124" s="11" t="n">
        <v>0.07</v>
      </c>
      <c r="G124" s="7" t="inlineStr">
        <is>
          <t>KGM</t>
        </is>
      </c>
      <c r="H124" s="16" t="n">
        <f>UPPER(AX124)</f>
        <v>0.0</v>
      </c>
      <c r="I124" s="16" t="n">
        <f>UPPER(AY124)</f>
        <v>0.0</v>
      </c>
      <c r="J124" s="16" t="inlineStr">
        <is>
          <t>佐藤ひなた</t>
        </is>
      </c>
      <c r="K124" s="25" t="n">
        <f>UPPER(J124)</f>
        <v>0.0</v>
      </c>
      <c r="L124" s="25"/>
      <c r="M124" s="26" t="n">
        <f>AU124&amp;AV124&amp;AW124&amp;BD124</f>
        <v>0.0</v>
      </c>
      <c r="N124" s="27" t="n">
        <f>UPPER(M124)</f>
        <v>0.0</v>
      </c>
      <c r="O124" s="28" t="n">
        <f>MID(N124,MIN(IFERROR(FIND({0,1,2,3,4,5,6,7,8,9},N124),LEN(N124)+1)),LEN(N124))</f>
        <v>0.0</v>
      </c>
      <c r="P124" s="28" t="n">
        <f>L124&amp;" "&amp;O124</f>
        <v>0.0</v>
      </c>
      <c r="Q124" s="27" t="inlineStr">
        <is>
          <t>162-0041</t>
        </is>
      </c>
      <c r="R124" s="30" t="inlineStr">
        <is>
          <t>090-8258-2793</t>
        </is>
      </c>
      <c r="S124" s="31" t="inlineStr">
        <is>
          <t xml:space="preserve">HUI ZHOU JING SHAN GONG MAO YOU XIAN GONG SI </t>
        </is>
      </c>
      <c r="T124" s="31" t="inlineStr">
        <is>
          <t>GUANG DONG SHENG HUI ZHOU SHI HUI CHENG QU QIAO DONG JIE DAO HUI ZHOU SHI HUI ZHOU DA DAO 108 HAO</t>
        </is>
      </c>
      <c r="U124" s="32" t="inlineStr">
        <is>
          <t>C&amp;F</t>
        </is>
      </c>
      <c r="V124" s="32" t="inlineStr">
        <is>
          <t>JPY</t>
        </is>
      </c>
      <c r="W124" s="33"/>
      <c r="X124" s="34" t="n">
        <f>INT(AZ124)</f>
        <v>0.0</v>
      </c>
      <c r="Y124" s="32" t="inlineStr">
        <is>
          <t>A</t>
        </is>
      </c>
      <c r="Z124" s="32" t="inlineStr">
        <is>
          <t>JPY</t>
        </is>
      </c>
      <c r="AA124" s="32"/>
      <c r="AB124" s="32" t="inlineStr">
        <is>
          <t>CN</t>
        </is>
      </c>
      <c r="AD124" s="27" t="inlineStr">
        <is>
          <t>佐藤ひなた</t>
        </is>
      </c>
      <c r="AE124" s="7" t="n">
        <f>AU124&amp;AV124&amp;AW124&amp;BD124</f>
        <v>0.0</v>
      </c>
      <c r="AF124" s="7" t="inlineStr">
        <is>
          <t>090-8258-2793</t>
        </is>
      </c>
      <c r="AG124" s="7" t="inlineStr">
        <is>
          <t>162-0041</t>
        </is>
      </c>
      <c r="AH124" s="7"/>
      <c r="AI124" s="7" t="n">
        <f>BB124&amp;BC124&amp;BA124</f>
        <v>0.0</v>
      </c>
      <c r="AJ124" s="7" t="inlineStr">
        <is>
          <t xml:space="preserve"> </t>
        </is>
      </c>
      <c r="AK124" s="39" t="inlineStr">
        <is>
          <t>C</t>
        </is>
      </c>
      <c r="AL124" s="39" t="n">
        <v>1.0</v>
      </c>
      <c r="AM124" s="27" t="n">
        <f>IF(OR(ISNUMBER(SEARCH("amazon",AH124)),ISNUMBER(SEARCH("亚马逊",AH124))),"PUS001",IF(OR(ISNUMBER(SEARCH("rakuten",AH124)),ISNUMBER(SEARCH("楽天",AH124)),ISNUMBER(SEARCH("乐天",AH124))),"PJP001",IF(ISNUMBER(SEARCH("tik tok shop",AH124)),"PSG003",IF(ISNUMBER(SEARCH("temu",AH124)),"PSG001",IF(ISNUMBER(SEARCH("shein",AH124)),"JSG001",IF(OR(ISNUMBER(SEARCH("yahoo",AH124)),ISNUMBER(SEARCH("雅虎",AH124)),ISNUMBER(SEARCH("雅",AH124)),LEFT(UPPER(AH124),1)="Y"),"PJP005",IF(ISNUMBER(SEARCH("DDA JAPAN",AH124)),CHOOSE(RANDBETWEEN(1,3),"temu","PSG003","PSG001"),"JCNZZZ")))))))</f>
        <v>0.0</v>
      </c>
      <c r="AN124" s="7" t="n">
        <f>IF(ISNUMBER(SEARCH("JCNZZZ",AM124)),CHOOSE(RANDBETWEEN(1,4),"TAOBAO0","JinDdong","PingDduoDduo","ALIBABA"),"")</f>
        <v>0.0</v>
      </c>
      <c r="AU124" s="7"/>
      <c r="AV124" s="7"/>
      <c r="AW124" s="7" t="inlineStr">
        <is>
          <t>東京都新宿区早稲田鶴巻町112 ReveResidence早稲田203号室</t>
        </is>
      </c>
      <c r="AX124" s="7" t="inlineStr">
        <is>
          <t>Eyelash curler</t>
        </is>
      </c>
      <c r="AY124" s="7" t="inlineStr">
        <is>
          <t>plastic</t>
        </is>
      </c>
      <c r="AZ124" s="7" t="n">
        <v>8.0</v>
      </c>
      <c r="BA124" s="7" t="inlineStr">
        <is>
          <t xml:space="preserve"> </t>
        </is>
      </c>
      <c r="BB124" s="7"/>
      <c r="BC124" s="7"/>
      <c r="BD124" s="7"/>
    </row>
    <row r="125" customHeight="true" ht="33.0">
      <c r="A125" s="13" t="inlineStr">
        <is>
          <t>DIDA</t>
        </is>
      </c>
      <c r="B125" s="14"/>
      <c r="C125" s="15" t="inlineStr">
        <is>
          <t>365008241765</t>
        </is>
      </c>
      <c r="D125" s="15" t="inlineStr">
        <is>
          <t>365008241765</t>
        </is>
      </c>
      <c r="E125" s="7" t="n">
        <v>1.0</v>
      </c>
      <c r="F125" s="11" t="n">
        <v>0.07</v>
      </c>
      <c r="G125" s="7" t="inlineStr">
        <is>
          <t>KGM</t>
        </is>
      </c>
      <c r="H125" s="16" t="n">
        <f>UPPER(AX125)</f>
        <v>0.0</v>
      </c>
      <c r="I125" s="16" t="n">
        <f>UPPER(AY125)</f>
        <v>0.0</v>
      </c>
      <c r="J125" s="16" t="inlineStr">
        <is>
          <t>田中 アイ子</t>
        </is>
      </c>
      <c r="K125" s="25" t="n">
        <f>UPPER(J125)</f>
        <v>0.0</v>
      </c>
      <c r="L125" s="25"/>
      <c r="M125" s="26" t="n">
        <f>AU125&amp;AV125&amp;AW125&amp;BD125</f>
        <v>0.0</v>
      </c>
      <c r="N125" s="27" t="n">
        <f>UPPER(M125)</f>
        <v>0.0</v>
      </c>
      <c r="O125" s="28" t="n">
        <f>MID(N125,MIN(IFERROR(FIND({0,1,2,3,4,5,6,7,8,9},N125),LEN(N125)+1)),LEN(N125))</f>
        <v>0.0</v>
      </c>
      <c r="P125" s="28" t="n">
        <f>L125&amp;" "&amp;O125</f>
        <v>0.0</v>
      </c>
      <c r="Q125" s="27" t="inlineStr">
        <is>
          <t>420-0911</t>
        </is>
      </c>
      <c r="R125" s="30" t="inlineStr">
        <is>
          <t>080-5527-0030</t>
        </is>
      </c>
      <c r="S125" s="31" t="inlineStr">
        <is>
          <t xml:space="preserve">HUI ZHOU JING SHAN GONG MAO YOU XIAN GONG SI </t>
        </is>
      </c>
      <c r="T125" s="31" t="inlineStr">
        <is>
          <t>GUANG DONG SHENG HUI ZHOU SHI HUI CHENG QU QIAO DONG JIE DAO HUI ZHOU SHI HUI ZHOU DA DAO 108 HAO</t>
        </is>
      </c>
      <c r="U125" s="32" t="inlineStr">
        <is>
          <t>C&amp;F</t>
        </is>
      </c>
      <c r="V125" s="32" t="inlineStr">
        <is>
          <t>JPY</t>
        </is>
      </c>
      <c r="W125" s="33"/>
      <c r="X125" s="34" t="n">
        <f>INT(AZ125)</f>
        <v>0.0</v>
      </c>
      <c r="Y125" s="32" t="inlineStr">
        <is>
          <t>A</t>
        </is>
      </c>
      <c r="Z125" s="32" t="inlineStr">
        <is>
          <t>JPY</t>
        </is>
      </c>
      <c r="AA125" s="32"/>
      <c r="AB125" s="32" t="inlineStr">
        <is>
          <t>CN</t>
        </is>
      </c>
      <c r="AD125" s="27" t="inlineStr">
        <is>
          <t>田中 アイ子</t>
        </is>
      </c>
      <c r="AE125" s="7" t="n">
        <f>AU125&amp;AV125&amp;AW125&amp;BD125</f>
        <v>0.0</v>
      </c>
      <c r="AF125" s="7" t="inlineStr">
        <is>
          <t>080-5527-0030</t>
        </is>
      </c>
      <c r="AG125" s="7" t="inlineStr">
        <is>
          <t>420-0911</t>
        </is>
      </c>
      <c r="AH125" s="7"/>
      <c r="AI125" s="7" t="n">
        <f>BB125&amp;BC125&amp;BA125</f>
        <v>0.0</v>
      </c>
      <c r="AJ125" s="7" t="inlineStr">
        <is>
          <t xml:space="preserve"> </t>
        </is>
      </c>
      <c r="AK125" s="39" t="inlineStr">
        <is>
          <t>C</t>
        </is>
      </c>
      <c r="AL125" s="39" t="n">
        <v>1.0</v>
      </c>
      <c r="AM125" s="27" t="n">
        <f>IF(OR(ISNUMBER(SEARCH("amazon",AH125)),ISNUMBER(SEARCH("亚马逊",AH125))),"PUS001",IF(OR(ISNUMBER(SEARCH("rakuten",AH125)),ISNUMBER(SEARCH("楽天",AH125)),ISNUMBER(SEARCH("乐天",AH125))),"PJP001",IF(ISNUMBER(SEARCH("tik tok shop",AH125)),"PSG003",IF(ISNUMBER(SEARCH("temu",AH125)),"PSG001",IF(ISNUMBER(SEARCH("shein",AH125)),"JSG001",IF(OR(ISNUMBER(SEARCH("yahoo",AH125)),ISNUMBER(SEARCH("雅虎",AH125)),ISNUMBER(SEARCH("雅",AH125)),LEFT(UPPER(AH125),1)="Y"),"PJP005",IF(ISNUMBER(SEARCH("DDA JAPAN",AH125)),CHOOSE(RANDBETWEEN(1,3),"temu","PSG003","PSG001"),"JCNZZZ")))))))</f>
        <v>0.0</v>
      </c>
      <c r="AN125" s="7" t="n">
        <f>IF(ISNUMBER(SEARCH("JCNZZZ",AM125)),CHOOSE(RANDBETWEEN(1,4),"TAOBAO0","JinDdong","PingDduoDduo","ALIBABA"),"")</f>
        <v>0.0</v>
      </c>
      <c r="AU125" s="7"/>
      <c r="AV125" s="7"/>
      <c r="AW125" s="7" t="inlineStr">
        <is>
          <t>静岡県静岡市葵区瀬名7-4-11</t>
        </is>
      </c>
      <c r="AX125" s="7" t="inlineStr">
        <is>
          <t>Eyelash curler</t>
        </is>
      </c>
      <c r="AY125" s="7" t="inlineStr">
        <is>
          <t>plastic</t>
        </is>
      </c>
      <c r="AZ125" s="7" t="n">
        <v>8.0</v>
      </c>
      <c r="BA125" s="7" t="inlineStr">
        <is>
          <t xml:space="preserve"> </t>
        </is>
      </c>
      <c r="BB125" s="7"/>
      <c r="BC125" s="7"/>
      <c r="BD125" s="7"/>
    </row>
    <row r="126" customHeight="true" ht="33.0">
      <c r="A126" s="13" t="inlineStr">
        <is>
          <t>DIDA</t>
        </is>
      </c>
      <c r="B126" s="14"/>
      <c r="C126" s="15" t="inlineStr">
        <is>
          <t>365008241780</t>
        </is>
      </c>
      <c r="D126" s="15" t="inlineStr">
        <is>
          <t>365008241780</t>
        </is>
      </c>
      <c r="E126" s="7" t="n">
        <v>1.0</v>
      </c>
      <c r="F126" s="11" t="n">
        <v>0.07</v>
      </c>
      <c r="G126" s="7" t="inlineStr">
        <is>
          <t>KGM</t>
        </is>
      </c>
      <c r="H126" s="16" t="n">
        <f>UPPER(AX126)</f>
        <v>0.0</v>
      </c>
      <c r="I126" s="16" t="n">
        <f>UPPER(AY126)</f>
        <v>0.0</v>
      </c>
      <c r="J126" s="16" t="inlineStr">
        <is>
          <t>田口みう</t>
        </is>
      </c>
      <c r="K126" s="25" t="n">
        <f>UPPER(J126)</f>
        <v>0.0</v>
      </c>
      <c r="L126" s="25"/>
      <c r="M126" s="26" t="n">
        <f>AU126&amp;AV126&amp;AW126&amp;BD126</f>
        <v>0.0</v>
      </c>
      <c r="N126" s="27" t="n">
        <f>UPPER(M126)</f>
        <v>0.0</v>
      </c>
      <c r="O126" s="28" t="n">
        <f>MID(N126,MIN(IFERROR(FIND({0,1,2,3,4,5,6,7,8,9},N126),LEN(N126)+1)),LEN(N126))</f>
        <v>0.0</v>
      </c>
      <c r="P126" s="28" t="n">
        <f>L126&amp;" "&amp;O126</f>
        <v>0.0</v>
      </c>
      <c r="Q126" s="27" t="inlineStr">
        <is>
          <t>027-0096</t>
        </is>
      </c>
      <c r="R126" s="30" t="inlineStr">
        <is>
          <t>080-9074-9464</t>
        </is>
      </c>
      <c r="S126" s="31" t="inlineStr">
        <is>
          <t xml:space="preserve">HUI ZHOU JING SHAN GONG MAO YOU XIAN GONG SI </t>
        </is>
      </c>
      <c r="T126" s="31" t="inlineStr">
        <is>
          <t>GUANG DONG SHENG HUI ZHOU SHI HUI CHENG QU QIAO DONG JIE DAO HUI ZHOU SHI HUI ZHOU DA DAO 108 HAO</t>
        </is>
      </c>
      <c r="U126" s="32" t="inlineStr">
        <is>
          <t>C&amp;F</t>
        </is>
      </c>
      <c r="V126" s="32" t="inlineStr">
        <is>
          <t>JPY</t>
        </is>
      </c>
      <c r="W126" s="33"/>
      <c r="X126" s="34" t="n">
        <f>INT(AZ126)</f>
        <v>0.0</v>
      </c>
      <c r="Y126" s="32" t="inlineStr">
        <is>
          <t>A</t>
        </is>
      </c>
      <c r="Z126" s="32" t="inlineStr">
        <is>
          <t>JPY</t>
        </is>
      </c>
      <c r="AA126" s="32"/>
      <c r="AB126" s="32" t="inlineStr">
        <is>
          <t>CN</t>
        </is>
      </c>
      <c r="AD126" s="27" t="inlineStr">
        <is>
          <t>田口みう</t>
        </is>
      </c>
      <c r="AE126" s="7" t="n">
        <f>AU126&amp;AV126&amp;AW126&amp;BD126</f>
        <v>0.0</v>
      </c>
      <c r="AF126" s="7" t="inlineStr">
        <is>
          <t>080-9074-9464</t>
        </is>
      </c>
      <c r="AG126" s="7" t="inlineStr">
        <is>
          <t>027-0096</t>
        </is>
      </c>
      <c r="AH126" s="7"/>
      <c r="AI126" s="7" t="n">
        <f>BB126&amp;BC126&amp;BA126</f>
        <v>0.0</v>
      </c>
      <c r="AJ126" s="7" t="inlineStr">
        <is>
          <t xml:space="preserve"> </t>
        </is>
      </c>
      <c r="AK126" s="39" t="inlineStr">
        <is>
          <t>C</t>
        </is>
      </c>
      <c r="AL126" s="39" t="n">
        <v>1.0</v>
      </c>
      <c r="AM126" s="27" t="n">
        <f>IF(OR(ISNUMBER(SEARCH("amazon",AH126)),ISNUMBER(SEARCH("亚马逊",AH126))),"PUS001",IF(OR(ISNUMBER(SEARCH("rakuten",AH126)),ISNUMBER(SEARCH("楽天",AH126)),ISNUMBER(SEARCH("乐天",AH126))),"PJP001",IF(ISNUMBER(SEARCH("tik tok shop",AH126)),"PSG003",IF(ISNUMBER(SEARCH("temu",AH126)),"PSG001",IF(ISNUMBER(SEARCH("shein",AH126)),"JSG001",IF(OR(ISNUMBER(SEARCH("yahoo",AH126)),ISNUMBER(SEARCH("雅虎",AH126)),ISNUMBER(SEARCH("雅",AH126)),LEFT(UPPER(AH126),1)="Y"),"PJP005",IF(ISNUMBER(SEARCH("DDA JAPAN",AH126)),CHOOSE(RANDBETWEEN(1,3),"temu","PSG003","PSG001"),"JCNZZZ")))))))</f>
        <v>0.0</v>
      </c>
      <c r="AN126" s="7" t="n">
        <f>IF(ISNUMBER(SEARCH("JCNZZZ",AM126)),CHOOSE(RANDBETWEEN(1,4),"TAOBAO0","JinDdong","PingDduoDduo","ALIBABA"),"")</f>
        <v>0.0</v>
      </c>
      <c r="AU126" s="7"/>
      <c r="AV126" s="7"/>
      <c r="AW126" s="7" t="inlineStr">
        <is>
          <t>岩手県宮古市崎鍬ケ崎第４地割１−１３はまなす寮</t>
        </is>
      </c>
      <c r="AX126" s="7" t="inlineStr">
        <is>
          <t>Eyelash curler</t>
        </is>
      </c>
      <c r="AY126" s="7" t="inlineStr">
        <is>
          <t>plastic</t>
        </is>
      </c>
      <c r="AZ126" s="7" t="n">
        <v>8.0</v>
      </c>
      <c r="BA126" s="7" t="inlineStr">
        <is>
          <t xml:space="preserve"> </t>
        </is>
      </c>
      <c r="BB126" s="7"/>
      <c r="BC126" s="7"/>
      <c r="BD126" s="7"/>
    </row>
    <row r="127" customHeight="true" ht="15.0">
      <c r="B127" s="17"/>
      <c r="C127" s="17"/>
      <c r="D127" s="17"/>
      <c r="E127" s="18"/>
      <c r="F127" s="19" t="inlineStr">
        <is>
          <t>124票</t>
        </is>
      </c>
      <c r="G127" s="20"/>
      <c r="H127" s="20"/>
      <c r="I127" s="20"/>
      <c r="J127" s="20"/>
      <c r="K127" s="20"/>
      <c r="L127" s="20"/>
      <c r="M127" s="20"/>
      <c r="N127" s="29"/>
      <c r="O127" s="29"/>
      <c r="P127" s="29"/>
      <c r="Q127" s="29"/>
      <c r="R127" s="29"/>
      <c r="S127" s="35"/>
      <c r="T127" s="35"/>
      <c r="U127" s="35"/>
      <c r="V127" s="35"/>
      <c r="W127" s="9"/>
      <c r="X127" s="9"/>
      <c r="Y127" s="35"/>
    </row>
    <row r="128" customHeight="true" ht="24.0">
      <c r="B128" s="21"/>
      <c r="C128" s="21"/>
      <c r="D128" s="21"/>
    </row>
  </sheetData>
  <mergeCells count="1">
    <mergeCell ref="AO2:AT2"/>
  </mergeCells>
  <printOptions verticalCentered="false"/>
  <pageMargins bottom="0.75" footer="0.511805555555556" header="0.511805555555556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单件尺寸重量</vt:lpstr>
      <vt:lpstr>电商平台代码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2017-11-23T05:45:00Z</dcterms:created>
  <dc:creator>Microsoft Office 用户</dc:creator>
  <cp:lastModifiedBy>DIDA-WEN</cp:lastModifiedBy>
  <dcterms:modified xsi:type="dcterms:W3CDTF">2025-10-11T08:22:26Z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D65B94074B304EF4B3BF01C60829783B_13</vt:lpwstr>
  </property>
</Properties>
</file>