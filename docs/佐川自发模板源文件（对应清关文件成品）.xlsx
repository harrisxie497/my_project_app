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500"/>
  </bookViews>
  <sheets>
    <sheet name="单件尺寸重量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<sst xmlns="http://schemas.openxmlformats.org/spreadsheetml/2006/main" count="3207" uniqueCount="958">
  <si>
    <t>MAWB NO：</t>
  </si>
  <si>
    <t>FLIGHT NO：</t>
  </si>
  <si>
    <t>ARRIVAL DATE</t>
  </si>
  <si>
    <t>会员编号</t>
  </si>
  <si>
    <t>序号</t>
  </si>
  <si>
    <t>HAWB番号</t>
  </si>
  <si>
    <t>現地問合せ番号</t>
  </si>
  <si>
    <t>貨物個数</t>
  </si>
  <si>
    <t>貨物重量</t>
  </si>
  <si>
    <t>重量単位コード</t>
  </si>
  <si>
    <t>品名</t>
  </si>
  <si>
    <t>材质</t>
  </si>
  <si>
    <t>收件人名（删）</t>
  </si>
  <si>
    <t>輸入者名</t>
  </si>
  <si>
    <t>英文邮编录入(删)</t>
  </si>
  <si>
    <t>收件人地址(删)2</t>
  </si>
  <si>
    <t>輸入者住所（删）</t>
  </si>
  <si>
    <t>提取门牌(删)</t>
  </si>
  <si>
    <t>輸入者住所</t>
  </si>
  <si>
    <t>輸入者 郵便番号</t>
  </si>
  <si>
    <t>輸入者電話番号</t>
  </si>
  <si>
    <t>輸出者名</t>
  </si>
  <si>
    <t>輸出者住所</t>
  </si>
  <si>
    <t>インボイス価格条件コード</t>
  </si>
  <si>
    <t>インボイス通貨コード</t>
  </si>
  <si>
    <t>インボイス価格</t>
  </si>
  <si>
    <t>单价（删）</t>
  </si>
  <si>
    <t>運賃区分コード</t>
  </si>
  <si>
    <t>運賃通貨コード</t>
  </si>
  <si>
    <t>運賃</t>
  </si>
  <si>
    <t>原産地コード</t>
  </si>
  <si>
    <t>備考</t>
  </si>
  <si>
    <t>收件人名（日文）</t>
  </si>
  <si>
    <t>收件人地址</t>
  </si>
  <si>
    <t>收件人电话</t>
  </si>
  <si>
    <t>收件人邮编</t>
  </si>
  <si>
    <t>依赖人名</t>
  </si>
  <si>
    <t>依赖人地址</t>
  </si>
  <si>
    <t>依赖人电话</t>
  </si>
  <si>
    <t>收件地址识别码</t>
  </si>
  <si>
    <t>电商货识别码</t>
  </si>
  <si>
    <t>电商平台码</t>
  </si>
  <si>
    <t>电商平台名称</t>
  </si>
  <si>
    <t>系统预留列，不可使用</t>
  </si>
  <si>
    <t>收件人省州（删）</t>
  </si>
  <si>
    <t>收件人城市（删）</t>
  </si>
  <si>
    <t>收件人地址（删）</t>
  </si>
  <si>
    <t>申报品名（删）</t>
  </si>
  <si>
    <t>材质(删)</t>
  </si>
  <si>
    <t>发货地址（删）</t>
  </si>
  <si>
    <t>发货省（删）</t>
  </si>
  <si>
    <t>发货市（删）</t>
  </si>
  <si>
    <t>收件人地址2（删）</t>
  </si>
  <si>
    <t>DIDA</t>
  </si>
  <si>
    <t>365027493316</t>
  </si>
  <si>
    <t>KGM</t>
  </si>
  <si>
    <t>堀 裕子 [ホリ ユウコ]</t>
  </si>
  <si>
    <t>182-0001</t>
  </si>
  <si>
    <t>090-4935-4241</t>
  </si>
  <si>
    <t xml:space="preserve">HUI ZHOU JING SHAN GONG MAO YOU XIAN GONG SI </t>
  </si>
  <si>
    <t>GUANG DONG SHENG HUI ZHOU SHI HUI CHENG QU QIAO DONG JIE DAO HUI ZHOU SHI HUI ZHOU DA DAO 108 HAO</t>
  </si>
  <si>
    <t>C&amp;F</t>
  </si>
  <si>
    <t>JPY</t>
  </si>
  <si>
    <t>A</t>
  </si>
  <si>
    <t>CN</t>
  </si>
  <si>
    <t>楽天-和心-H</t>
  </si>
  <si>
    <t xml:space="preserve"> 05030919965</t>
  </si>
  <si>
    <t>C</t>
  </si>
  <si>
    <t>東京都</t>
  </si>
  <si>
    <t>調布市</t>
  </si>
  <si>
    <t>緑ケ丘1-7-6（宅配ボックス希望）</t>
  </si>
  <si>
    <t>Shaking table ware</t>
  </si>
  <si>
    <t>ABS</t>
  </si>
  <si>
    <t xml:space="preserve"> 東京都稲城市平尾１－１４－１７</t>
  </si>
  <si>
    <t>365027491426</t>
  </si>
  <si>
    <t>高橋 亜衣美</t>
  </si>
  <si>
    <t>513-1124</t>
  </si>
  <si>
    <t>090-9920-0455</t>
  </si>
  <si>
    <t>株式会社ｇｏｌｄ　ｒｏｏｆ</t>
  </si>
  <si>
    <t xml:space="preserve"> 05031541189</t>
  </si>
  <si>
    <t>三重県</t>
  </si>
  <si>
    <t>鈴鹿市</t>
  </si>
  <si>
    <t>自由ヶ丘4丁目10ー25</t>
  </si>
  <si>
    <t>Airplane toy</t>
  </si>
  <si>
    <t xml:space="preserve"> 新宿３－７－９</t>
  </si>
  <si>
    <t>新宿区</t>
  </si>
  <si>
    <t/>
  </si>
  <si>
    <t>365027468912</t>
  </si>
  <si>
    <t>溝川　康之</t>
  </si>
  <si>
    <t>899-7104</t>
  </si>
  <si>
    <t>08064064944</t>
  </si>
  <si>
    <t xml:space="preserve"> </t>
  </si>
  <si>
    <t>志布志市志布志町安楽 1969 株式会社　溝川工業 鹿児島県</t>
  </si>
  <si>
    <t>Laser Level</t>
  </si>
  <si>
    <t>plastic</t>
  </si>
  <si>
    <t>365027491511</t>
  </si>
  <si>
    <t>池上 千夏</t>
  </si>
  <si>
    <t>227-0063</t>
  </si>
  <si>
    <t>045-984-0646</t>
  </si>
  <si>
    <t>深圳市金斯达实业有限公司</t>
  </si>
  <si>
    <t xml:space="preserve"> 04-7137-7848</t>
  </si>
  <si>
    <t>神奈川県</t>
  </si>
  <si>
    <t>横浜市青葉区</t>
  </si>
  <si>
    <t>榎が丘25-1ドレッセ青葉台プレエスタ111</t>
  </si>
  <si>
    <t>Plastic toys</t>
  </si>
  <si>
    <t>Plastic</t>
  </si>
  <si>
    <t xml:space="preserve"> 龙华区梅坂路民乐科技大厦211室</t>
  </si>
  <si>
    <t>None</t>
  </si>
  <si>
    <t>GuangDong</t>
  </si>
  <si>
    <t>365027492690</t>
  </si>
  <si>
    <t>松村 光博</t>
  </si>
  <si>
    <t>069-1343</t>
  </si>
  <si>
    <t>090-2694-3372</t>
  </si>
  <si>
    <t>JETMILLIO楽天市場店</t>
  </si>
  <si>
    <t xml:space="preserve"> 050-3181-9787</t>
  </si>
  <si>
    <t>北海道</t>
  </si>
  <si>
    <t>夕張郡長沼町</t>
  </si>
  <si>
    <t>旭町北1丁目3ー17</t>
  </si>
  <si>
    <t>LED lights</t>
  </si>
  <si>
    <t>Wooden</t>
  </si>
  <si>
    <t xml:space="preserve"> 東京都大田区上池台３－２４－１４スターハイツ洗足池２　２０２</t>
  </si>
  <si>
    <t>365027493283</t>
  </si>
  <si>
    <t>目片 まゆみ</t>
  </si>
  <si>
    <t>529-1804</t>
  </si>
  <si>
    <t>0748-60-4005</t>
  </si>
  <si>
    <t>I.M.P楽天市場店</t>
  </si>
  <si>
    <t xml:space="preserve"> 050-3092-1704</t>
  </si>
  <si>
    <t>滋賀県</t>
  </si>
  <si>
    <t>甲賀市</t>
  </si>
  <si>
    <t>信楽町勅旨1993 ギャラリーきりん</t>
  </si>
  <si>
    <t>Plastic corner protectors</t>
  </si>
  <si>
    <t>plastics</t>
  </si>
  <si>
    <t xml:space="preserve"> 滋賀県甲賀市甲南町野尻558</t>
  </si>
  <si>
    <t>365027492966</t>
  </si>
  <si>
    <t>株式会社 東海カンパニー</t>
  </si>
  <si>
    <t>473-0908</t>
  </si>
  <si>
    <t>0565-24-4111</t>
  </si>
  <si>
    <t>愛知県</t>
  </si>
  <si>
    <t>豊田市</t>
  </si>
  <si>
    <t>宝町東田25番地</t>
  </si>
  <si>
    <t>clothes</t>
  </si>
  <si>
    <t xml:space="preserve">Polyester; </t>
  </si>
  <si>
    <t>365027492793</t>
  </si>
  <si>
    <t>廣岡 美鈴</t>
  </si>
  <si>
    <t>620-0342</t>
  </si>
  <si>
    <t>090-5056-3784</t>
  </si>
  <si>
    <t>UT.village</t>
  </si>
  <si>
    <t xml:space="preserve"> 05030979484</t>
  </si>
  <si>
    <t>京都府</t>
  </si>
  <si>
    <t>福知山市</t>
  </si>
  <si>
    <t>大江町南有路1208</t>
  </si>
  <si>
    <t>DIY Tools,Waterproof coating</t>
  </si>
  <si>
    <t>PE</t>
  </si>
  <si>
    <t xml:space="preserve"> 神奈川県川崎市高津区下作延２－２２－５クレイノアクアパレス２０５</t>
  </si>
  <si>
    <t>365027492874</t>
  </si>
  <si>
    <t>佐藤 蛍</t>
  </si>
  <si>
    <t>041-1603</t>
  </si>
  <si>
    <t>080-1872-0576</t>
  </si>
  <si>
    <t>函館市</t>
  </si>
  <si>
    <t>尾札部町1945-3</t>
  </si>
  <si>
    <t>Jewelry Box</t>
  </si>
  <si>
    <t>Metal</t>
  </si>
  <si>
    <t>365027493320</t>
  </si>
  <si>
    <t>阪ノ下 芽美 [サカノシタ メイミ]</t>
  </si>
  <si>
    <t>227-0054</t>
  </si>
  <si>
    <t>080-4313-6793</t>
  </si>
  <si>
    <t>楽天-ヤナストア</t>
  </si>
  <si>
    <t xml:space="preserve"> 0671670298</t>
  </si>
  <si>
    <t>横浜市青葉区しらとり台</t>
  </si>
  <si>
    <t>62-1 Novem しらとり台 9</t>
  </si>
  <si>
    <t>lamp</t>
  </si>
  <si>
    <t xml:space="preserve"> 上野芝町2－5－1－５０７</t>
  </si>
  <si>
    <t>365027493213</t>
  </si>
  <si>
    <t>株式会社 カラオケエンタテイメント [カブシキガイシャ カラオケエンタテイメント]</t>
  </si>
  <si>
    <t>101-0051</t>
  </si>
  <si>
    <t>03-3291-1295</t>
  </si>
  <si>
    <t>楽天-eightyone-H</t>
  </si>
  <si>
    <t xml:space="preserve"> 036-161-6083</t>
  </si>
  <si>
    <t>千代田区</t>
  </si>
  <si>
    <t>神田神保町1-2</t>
  </si>
  <si>
    <t xml:space="preserve"> 東京都品川区平塚1-13-1</t>
  </si>
  <si>
    <t>365027493773</t>
  </si>
  <si>
    <t>野村 京</t>
  </si>
  <si>
    <t>160-0023</t>
  </si>
  <si>
    <t>03-5937-0883</t>
  </si>
  <si>
    <t>東京都新宿区西新宿7丁目1-12　 Crossoffice新宿705</t>
  </si>
  <si>
    <t>Storage Box</t>
  </si>
  <si>
    <t>365027493261</t>
  </si>
  <si>
    <t>生頼 悦子</t>
  </si>
  <si>
    <t>225-0022</t>
  </si>
  <si>
    <t>08010978274</t>
  </si>
  <si>
    <t>鯨山-kingyama</t>
  </si>
  <si>
    <t xml:space="preserve"> 050-5856-0970</t>
  </si>
  <si>
    <t>黒須田31-52</t>
  </si>
  <si>
    <t>Solar outdoor lamp</t>
  </si>
  <si>
    <t xml:space="preserve"> 大阪市西成区3丁目5番14号FDS ENISHI303</t>
  </si>
  <si>
    <t>365027493563</t>
  </si>
  <si>
    <t>片岡 優介</t>
  </si>
  <si>
    <t>428-0009</t>
  </si>
  <si>
    <t>090-1984-6867</t>
  </si>
  <si>
    <t xml:space="preserve"> 08085450013</t>
  </si>
  <si>
    <t>静岡県</t>
  </si>
  <si>
    <t>島田市</t>
  </si>
  <si>
    <t>大代1649番地の1</t>
  </si>
  <si>
    <t>armrest box</t>
  </si>
  <si>
    <t xml:space="preserve"> 中百舌鳥町6丁目１００１-5盲亀浮木の店</t>
  </si>
  <si>
    <t>大阪府</t>
  </si>
  <si>
    <t>堺市</t>
  </si>
  <si>
    <t>365027492830</t>
  </si>
  <si>
    <t>八木 和佳</t>
  </si>
  <si>
    <t>370-0343</t>
  </si>
  <si>
    <t>090-8111-6263</t>
  </si>
  <si>
    <t>群馬県</t>
  </si>
  <si>
    <t>太田市09081116263</t>
  </si>
  <si>
    <t>新田下田中町373-1 東亜工業株式会社 住宅事業部 業務部 業務課 八木和佳宛</t>
  </si>
  <si>
    <t>Cup</t>
  </si>
  <si>
    <t>glass</t>
  </si>
  <si>
    <t>365027492900</t>
  </si>
  <si>
    <t>大倉 美紅</t>
  </si>
  <si>
    <t>739-0024</t>
  </si>
  <si>
    <t>090-3877-0039</t>
  </si>
  <si>
    <t>広島県</t>
  </si>
  <si>
    <t>東広島市</t>
  </si>
  <si>
    <t>西条町御薗宇5288-1 ロンディネA204</t>
  </si>
  <si>
    <t>baking mold</t>
  </si>
  <si>
    <t>Stainless steel</t>
  </si>
  <si>
    <t>365027492863</t>
  </si>
  <si>
    <t>松谷 史子</t>
  </si>
  <si>
    <t>064-0914</t>
  </si>
  <si>
    <t>011-531-5710</t>
  </si>
  <si>
    <t>FINTRUE</t>
  </si>
  <si>
    <t xml:space="preserve"> 05058401648</t>
  </si>
  <si>
    <t>札幌市中央区</t>
  </si>
  <si>
    <t>南十四条西18丁目5-27 グランエスセーナ701</t>
  </si>
  <si>
    <t>Cleaning supplies</t>
  </si>
  <si>
    <t>PC</t>
  </si>
  <si>
    <t xml:space="preserve"> 大阪府大阪市中央区安堂寺町2-1-3-901</t>
  </si>
  <si>
    <t>365027492686</t>
  </si>
  <si>
    <t>奥山 学</t>
  </si>
  <si>
    <t>010-0043</t>
  </si>
  <si>
    <t>018-807-0155</t>
  </si>
  <si>
    <t>ジョシュミル</t>
  </si>
  <si>
    <t>秋田県</t>
  </si>
  <si>
    <t>秋田市</t>
  </si>
  <si>
    <t>桜ガ丘3丁目7-15</t>
  </si>
  <si>
    <t>pet anti-scratch spray</t>
  </si>
  <si>
    <t xml:space="preserve"> 山形県山形市上町２－９－５</t>
  </si>
  <si>
    <t>365027492815</t>
  </si>
  <si>
    <t>戸高 太輔</t>
  </si>
  <si>
    <t>431-0103</t>
  </si>
  <si>
    <t>053-489-3354</t>
  </si>
  <si>
    <t>浜松市中央区</t>
  </si>
  <si>
    <t>雄踏1丁目7-20</t>
  </si>
  <si>
    <t>Toys</t>
  </si>
  <si>
    <t>365027492911</t>
  </si>
  <si>
    <t>塩屋 歩</t>
  </si>
  <si>
    <t>545-0043</t>
  </si>
  <si>
    <t>090-2060-5608</t>
  </si>
  <si>
    <t>大阪市阿倍野区</t>
  </si>
  <si>
    <t>松虫通2-4-4</t>
  </si>
  <si>
    <t>Beach toys</t>
  </si>
  <si>
    <t>365027492826</t>
  </si>
  <si>
    <t>上久保 嘉裕</t>
  </si>
  <si>
    <t>358-0031</t>
  </si>
  <si>
    <t>04-2964-5467</t>
  </si>
  <si>
    <t>埼玉県</t>
  </si>
  <si>
    <t>入間市</t>
  </si>
  <si>
    <t>新久936-14</t>
  </si>
  <si>
    <t>Cleaning products</t>
  </si>
  <si>
    <t>Plastic, sponge</t>
  </si>
  <si>
    <t>365027493250</t>
  </si>
  <si>
    <t>山崎 亜矢子</t>
  </si>
  <si>
    <t>086-1021</t>
  </si>
  <si>
    <t>090-2691-4664</t>
  </si>
  <si>
    <t>ラッキーストライク</t>
  </si>
  <si>
    <t xml:space="preserve"> 05030911547</t>
  </si>
  <si>
    <t>標津郡中標津町</t>
  </si>
  <si>
    <t>東21条南9丁目10番地17</t>
  </si>
  <si>
    <t>Christmas hat</t>
  </si>
  <si>
    <t>Polyester</t>
  </si>
  <si>
    <t xml:space="preserve"> 東京都西多摩郡奥多摩町留浦１０１８</t>
  </si>
  <si>
    <t>365027492782</t>
  </si>
  <si>
    <t>梶原</t>
  </si>
  <si>
    <t>060-0062</t>
  </si>
  <si>
    <t>090-2311-6018</t>
  </si>
  <si>
    <t>南二条西6-5-3住友狸小路プラザハウス1階せいす</t>
  </si>
  <si>
    <t>Storage tray</t>
  </si>
  <si>
    <t>stainless steel</t>
  </si>
  <si>
    <t>365027493246</t>
  </si>
  <si>
    <t>和田 開</t>
  </si>
  <si>
    <t>170-0013</t>
  </si>
  <si>
    <t>090-3265-5077</t>
  </si>
  <si>
    <t>豊島区</t>
  </si>
  <si>
    <t>東池袋5丁目8-5 602号</t>
  </si>
  <si>
    <t>Cleaning agents</t>
  </si>
  <si>
    <t>Lanolin</t>
  </si>
  <si>
    <t>365027492933</t>
  </si>
  <si>
    <t>木村寿範</t>
  </si>
  <si>
    <t>021-0852</t>
  </si>
  <si>
    <t>0191-23-3182</t>
  </si>
  <si>
    <t>岩手県</t>
  </si>
  <si>
    <t>一関市</t>
  </si>
  <si>
    <t>沢297-14村上商会</t>
  </si>
  <si>
    <t>Cut-resistant gloves</t>
  </si>
  <si>
    <t>steel wire</t>
  </si>
  <si>
    <t>365027470986</t>
  </si>
  <si>
    <t>加賀田 宙佑</t>
  </si>
  <si>
    <t>212-0007</t>
  </si>
  <si>
    <t>08077415894</t>
  </si>
  <si>
    <t>神奈川県川崎市幸区河原町 河原町団地13号棟223番</t>
  </si>
  <si>
    <t>plastic toys</t>
  </si>
  <si>
    <t>365027493806</t>
  </si>
  <si>
    <t>phone case</t>
  </si>
  <si>
    <t>365027492852</t>
  </si>
  <si>
    <t>大久保 昌代</t>
  </si>
  <si>
    <t>183-0026</t>
  </si>
  <si>
    <t>042-313-8895</t>
  </si>
  <si>
    <t>府中市</t>
  </si>
  <si>
    <t>南町1-47-1シルキーパレス103</t>
  </si>
  <si>
    <t>Toy</t>
  </si>
  <si>
    <t>365027493596</t>
  </si>
  <si>
    <t>御園 幸江</t>
  </si>
  <si>
    <t>085-0805</t>
  </si>
  <si>
    <t>090-8374-1389</t>
  </si>
  <si>
    <t>釧路市</t>
  </si>
  <si>
    <t>桜ケ岡7-7-7</t>
  </si>
  <si>
    <t>earphones</t>
  </si>
  <si>
    <t>365027469273</t>
  </si>
  <si>
    <t>前田　裕香</t>
  </si>
  <si>
    <t>486-0833</t>
  </si>
  <si>
    <t>090-9129-8719</t>
  </si>
  <si>
    <t>愛知県 春日井市 上条町3-24-2-9C</t>
  </si>
  <si>
    <t>Neck Massager</t>
  </si>
  <si>
    <t>365027472121</t>
  </si>
  <si>
    <t>相馬 周</t>
  </si>
  <si>
    <t>030-0962</t>
  </si>
  <si>
    <t>07028250406</t>
  </si>
  <si>
    <t>青森県青森市 茶屋町4-14</t>
  </si>
  <si>
    <t>365027493644</t>
  </si>
  <si>
    <t>福田 真弓 [フクダ マユミ]</t>
  </si>
  <si>
    <t>062-0921</t>
  </si>
  <si>
    <t>080-9830-6753</t>
  </si>
  <si>
    <t>楽天-Rumay-D</t>
  </si>
  <si>
    <t xml:space="preserve"> 072-703-4761</t>
  </si>
  <si>
    <t>札幌市豊平区</t>
  </si>
  <si>
    <t>中の島一条4丁目2-16 Tiberina中の島401</t>
  </si>
  <si>
    <t>Eye Protector</t>
  </si>
  <si>
    <t xml:space="preserve"> 中央区内本町2‐3‐8　ダイアパレスビル本町 1006ミズイシテクノロジー</t>
  </si>
  <si>
    <t>365027493493</t>
  </si>
  <si>
    <t>松田 修一 [マツダ シュウイチ]</t>
  </si>
  <si>
    <t>061-1372</t>
  </si>
  <si>
    <t>090-5181-6144</t>
  </si>
  <si>
    <t>恵庭市</t>
  </si>
  <si>
    <t>恵み野南5-6-11</t>
  </si>
  <si>
    <t>Water quality testing pen</t>
  </si>
  <si>
    <t>365027493331</t>
  </si>
  <si>
    <t>伊丹 晋輔 [イタミ シンスケ]</t>
  </si>
  <si>
    <t>713-8121</t>
  </si>
  <si>
    <t>090-1350-8954</t>
  </si>
  <si>
    <t>楽天-クリアアフュー</t>
  </si>
  <si>
    <t xml:space="preserve"> 066-4508-345</t>
  </si>
  <si>
    <t>岡山県</t>
  </si>
  <si>
    <t>倉敷市</t>
  </si>
  <si>
    <t>玉島阿賀崎2-1-1玉島中央病院</t>
  </si>
  <si>
    <t>baseball</t>
  </si>
  <si>
    <t>PU</t>
  </si>
  <si>
    <t xml:space="preserve"> 大阪府大阪市浪速区日本橋５－１３－９－２０２</t>
  </si>
  <si>
    <t>365027469752</t>
  </si>
  <si>
    <t>篠崎翔太</t>
  </si>
  <si>
    <t>060-0906</t>
  </si>
  <si>
    <t>080-4452-8071</t>
  </si>
  <si>
    <t>北海道札幌市東区北6条東6丁目1-2-312</t>
  </si>
  <si>
    <t>365027493191</t>
  </si>
  <si>
    <t>久家 瑠美</t>
  </si>
  <si>
    <t>574-0011</t>
  </si>
  <si>
    <t>080-2513-6734</t>
  </si>
  <si>
    <t>大東市</t>
  </si>
  <si>
    <t>北条7-9-7</t>
  </si>
  <si>
    <t>wooden block</t>
  </si>
  <si>
    <t>Wood</t>
  </si>
  <si>
    <t>365027493740</t>
  </si>
  <si>
    <t>高橋 佐代 [タカハシ サヨ]</t>
  </si>
  <si>
    <t>364-0005</t>
  </si>
  <si>
    <t>090-4750-6967</t>
  </si>
  <si>
    <t>楽天-KAMCITY-L</t>
  </si>
  <si>
    <t xml:space="preserve"> 070-1432-7896</t>
  </si>
  <si>
    <t>北本市</t>
  </si>
  <si>
    <t>本宿5-58</t>
  </si>
  <si>
    <t>Outdoor Light</t>
  </si>
  <si>
    <t xml:space="preserve"> 内本町2‐3‐8</t>
  </si>
  <si>
    <t>365027472235</t>
  </si>
  <si>
    <t>久木隆一郎</t>
  </si>
  <si>
    <t>683-0009</t>
  </si>
  <si>
    <t>080-2925-7078</t>
  </si>
  <si>
    <t>鳥取県米子市旗ヶ崎2丁目11-39アビタシオンドゥ601</t>
  </si>
  <si>
    <t>365027493526</t>
  </si>
  <si>
    <t>横井川 ノリ子</t>
  </si>
  <si>
    <t>321-0203</t>
  </si>
  <si>
    <t>080-1000-3225</t>
  </si>
  <si>
    <t>栃木県</t>
  </si>
  <si>
    <t>下都賀郡壬生町</t>
  </si>
  <si>
    <t>幸町1-5-3</t>
  </si>
  <si>
    <t>ashtray</t>
  </si>
  <si>
    <t>365027469284</t>
  </si>
  <si>
    <t>田口真大朗</t>
  </si>
  <si>
    <t>542-0072</t>
  </si>
  <si>
    <t>090-3165-1028</t>
  </si>
  <si>
    <t>大阪府大阪市中央区高津3-2-34 ホワイトハイツ601</t>
  </si>
  <si>
    <t>humidifier</t>
  </si>
  <si>
    <t>365027492771</t>
  </si>
  <si>
    <t>永井 恵美</t>
  </si>
  <si>
    <t>519-5711</t>
  </si>
  <si>
    <t>0735-32-3030</t>
  </si>
  <si>
    <t>南牟婁郡紀宝町</t>
  </si>
  <si>
    <t>井田1598</t>
  </si>
  <si>
    <t>cleaning brush</t>
  </si>
  <si>
    <t>304 stainless steel</t>
  </si>
  <si>
    <t>365027492546</t>
  </si>
  <si>
    <t>長谷川資洋 (エスアイエイジェンシー依頼分)</t>
  </si>
  <si>
    <t>321-2523</t>
  </si>
  <si>
    <t>080-4210-9142</t>
  </si>
  <si>
    <t>日光市</t>
  </si>
  <si>
    <t>高徳38番地3 サンクチュアリコート日光 購買部 フロント29</t>
  </si>
  <si>
    <t>doorbell</t>
  </si>
  <si>
    <t>abs</t>
  </si>
  <si>
    <t>365027492981</t>
  </si>
  <si>
    <t>伊藤 珠子</t>
  </si>
  <si>
    <t>441-8133</t>
  </si>
  <si>
    <t>0532-25-1617</t>
  </si>
  <si>
    <t>豊橋市</t>
  </si>
  <si>
    <t>大清水町字大清水444-1</t>
  </si>
  <si>
    <t>365027492561</t>
  </si>
  <si>
    <t>原島 健二 [ハラシマ ケンジ]</t>
  </si>
  <si>
    <t>004-0052</t>
  </si>
  <si>
    <t>090-2635-9143</t>
  </si>
  <si>
    <t>札幌市厚別区</t>
  </si>
  <si>
    <t>厚別中央二条2-9-7 トラスコートひばりが丘302</t>
  </si>
  <si>
    <t>365027493294</t>
  </si>
  <si>
    <t>水阪 由美</t>
  </si>
  <si>
    <t>550-0013</t>
  </si>
  <si>
    <t>090-6370-4457</t>
  </si>
  <si>
    <t>大阪市西区</t>
  </si>
  <si>
    <t>新町2-16-17アーデンタワー新町1101号</t>
  </si>
  <si>
    <t>Ornaments</t>
  </si>
  <si>
    <t>copper</t>
  </si>
  <si>
    <t>365027492745</t>
  </si>
  <si>
    <t>高村 精一郎</t>
  </si>
  <si>
    <t>359-0024</t>
  </si>
  <si>
    <t>04-2944-6506</t>
  </si>
  <si>
    <t>所沢市</t>
  </si>
  <si>
    <t>下安松286-227</t>
  </si>
  <si>
    <t>365027493176</t>
  </si>
  <si>
    <t>長井 智美</t>
  </si>
  <si>
    <t>253-0053</t>
  </si>
  <si>
    <t>080-3546-7292</t>
  </si>
  <si>
    <t>茅ヶ崎市</t>
  </si>
  <si>
    <t>東海岸北5丁目1ー12ー2</t>
  </si>
  <si>
    <t>Egg slicer</t>
  </si>
  <si>
    <t>365027492583</t>
  </si>
  <si>
    <t>菅原 まゆみ [スガワラ マユミ]</t>
  </si>
  <si>
    <t>005-0852</t>
  </si>
  <si>
    <t>090-7657-3191</t>
  </si>
  <si>
    <t>楽天-SUTAIRU-D</t>
  </si>
  <si>
    <t>札幌市南区</t>
  </si>
  <si>
    <t>常盤二条1丁目12-6-1032025-12-14(日)16:00-18:00</t>
  </si>
  <si>
    <t>seal</t>
  </si>
  <si>
    <t>365027492955</t>
  </si>
  <si>
    <t>天草 慈恵病院</t>
  </si>
  <si>
    <t>863-2502</t>
  </si>
  <si>
    <t>0969-37-1114</t>
  </si>
  <si>
    <t>熊本県</t>
  </si>
  <si>
    <t>天草郡苓北町</t>
  </si>
  <si>
    <t>上津深江278-10</t>
  </si>
  <si>
    <t>toy</t>
  </si>
  <si>
    <t>365027493751</t>
  </si>
  <si>
    <t>本橋 伸子 [モトハシ ノブコ]</t>
  </si>
  <si>
    <t>153-0044</t>
  </si>
  <si>
    <t>03-5738-2012</t>
  </si>
  <si>
    <t>目黒区</t>
  </si>
  <si>
    <t>大橋2-2-3-504（午前中配達希望）</t>
  </si>
  <si>
    <t>Warm Fan</t>
  </si>
  <si>
    <t>365027490855</t>
  </si>
  <si>
    <t>高根沢 一也</t>
  </si>
  <si>
    <t>160-0021</t>
  </si>
  <si>
    <t>03-6273-8641</t>
  </si>
  <si>
    <t>歌舞伎町1-28-3 TOMOビル3F</t>
  </si>
  <si>
    <t>ceramics</t>
  </si>
  <si>
    <t>365027493434</t>
  </si>
  <si>
    <t>吉川 富子 [ヨシカワ ヒサコ]</t>
  </si>
  <si>
    <t>060-0033</t>
  </si>
  <si>
    <t>090-2284-0135</t>
  </si>
  <si>
    <t>北三条東11丁目338 プレミストタワーズ札幌苗穂AQUAGATE 2403（12:00-14:00配達希望）</t>
  </si>
  <si>
    <t>Makeup Mirror</t>
  </si>
  <si>
    <t>Glass</t>
  </si>
  <si>
    <t>365027492885</t>
  </si>
  <si>
    <t>林 恵利</t>
  </si>
  <si>
    <t>152-0013</t>
  </si>
  <si>
    <t>090-2129-0540</t>
  </si>
  <si>
    <t>南2-8-17-156</t>
  </si>
  <si>
    <t>Track toys</t>
  </si>
  <si>
    <t>365027473311</t>
  </si>
  <si>
    <t>翔 浜田</t>
  </si>
  <si>
    <t>359-1151</t>
  </si>
  <si>
    <t>9067078729</t>
  </si>
  <si>
    <t>埼玉県所沢市若狭4-867-6</t>
  </si>
  <si>
    <t>365027472132</t>
  </si>
  <si>
    <t>Zhang li kun</t>
  </si>
  <si>
    <t>101-0025</t>
  </si>
  <si>
    <t>03-3253-5811</t>
  </si>
  <si>
    <t>東京都千代田区神田佐久間町1-17 4F</t>
  </si>
  <si>
    <t>365027493121</t>
  </si>
  <si>
    <t>パスタ屋 とらうさぎ3番店</t>
  </si>
  <si>
    <t>211-0041</t>
  </si>
  <si>
    <t>044-982-1638</t>
  </si>
  <si>
    <t>川崎市中原区</t>
  </si>
  <si>
    <t>下小田中1-8-2 KFAビル1階（パスタ屋 とらうさぎ3番店）</t>
  </si>
  <si>
    <t>Belt</t>
  </si>
  <si>
    <t>365027493272</t>
  </si>
  <si>
    <t>今川 亜由美 [イマガワ アユミ]</t>
  </si>
  <si>
    <t>769-1407</t>
  </si>
  <si>
    <t>090-4782-4051</t>
  </si>
  <si>
    <t>香川県</t>
  </si>
  <si>
    <t>三豊市</t>
  </si>
  <si>
    <t>仁尾町仁尾丁1452-30</t>
  </si>
  <si>
    <t>Led light</t>
  </si>
  <si>
    <t>365027493040</t>
  </si>
  <si>
    <t>林 竜生</t>
  </si>
  <si>
    <t>502-0002</t>
  </si>
  <si>
    <t>090-1472-7900</t>
  </si>
  <si>
    <t>岐阜県</t>
  </si>
  <si>
    <t>岐阜市</t>
  </si>
  <si>
    <t>粟野東3丁目210番地</t>
  </si>
  <si>
    <t>365027492804</t>
  </si>
  <si>
    <t>野沢 琴美</t>
  </si>
  <si>
    <t>179-0074</t>
  </si>
  <si>
    <t>080-5482-5103</t>
  </si>
  <si>
    <t>スマイルファミリー</t>
  </si>
  <si>
    <t xml:space="preserve"> 04-6364-2754</t>
  </si>
  <si>
    <t>練馬区</t>
  </si>
  <si>
    <t>春日町4-19-22</t>
  </si>
  <si>
    <t>Beach Toys</t>
  </si>
  <si>
    <t xml:space="preserve"> 神奈川県秦野市戸川４７０－７</t>
  </si>
  <si>
    <t>365027492841</t>
  </si>
  <si>
    <t>長谷川 由美</t>
  </si>
  <si>
    <t>513-0011</t>
  </si>
  <si>
    <t>059-379-6707</t>
  </si>
  <si>
    <t>高塚町183-20</t>
  </si>
  <si>
    <t>Backrest pillow</t>
  </si>
  <si>
    <t>sponge</t>
  </si>
  <si>
    <t>365027493180</t>
  </si>
  <si>
    <t>福永 つよみ</t>
  </si>
  <si>
    <t>751-0859</t>
  </si>
  <si>
    <t>090-5268-9908</t>
  </si>
  <si>
    <t>山口県</t>
  </si>
  <si>
    <t>下関市</t>
  </si>
  <si>
    <t>川中本町1-1513</t>
  </si>
  <si>
    <t>Crystal lotus candle holder</t>
  </si>
  <si>
    <t>White crystal</t>
  </si>
  <si>
    <t>365027493412</t>
  </si>
  <si>
    <t>桜井 幸夫 [サクライ ユキオ]</t>
  </si>
  <si>
    <t>245-0063</t>
  </si>
  <si>
    <t>045-851-7288</t>
  </si>
  <si>
    <t>横浜市戸塚区</t>
  </si>
  <si>
    <t>原宿1-47-4</t>
  </si>
  <si>
    <t>fitness belt</t>
  </si>
  <si>
    <t>365027472165</t>
  </si>
  <si>
    <t>楓 後藤</t>
  </si>
  <si>
    <t>804-0011</t>
  </si>
  <si>
    <t>08017598887</t>
  </si>
  <si>
    <t>福岡県 城市 北九州市戸畑区中原西 地址 1-11-6</t>
  </si>
  <si>
    <t>365027469925</t>
  </si>
  <si>
    <t>安达翔</t>
  </si>
  <si>
    <t>350-1317</t>
  </si>
  <si>
    <t>08059682833</t>
  </si>
  <si>
    <t>埼玉県狭山市大字水野５０７－１</t>
  </si>
  <si>
    <t>365027469855</t>
  </si>
  <si>
    <t>FAN</t>
  </si>
  <si>
    <t>365027492701</t>
  </si>
  <si>
    <t>佐久間 美悠菜 [サクマ ミユナ]</t>
  </si>
  <si>
    <t>963-0201</t>
  </si>
  <si>
    <t>090-6624-3057</t>
  </si>
  <si>
    <t>楽天-kaneshiro</t>
  </si>
  <si>
    <t xml:space="preserve"> 05030921748</t>
  </si>
  <si>
    <t>福島県</t>
  </si>
  <si>
    <t>郡山市</t>
  </si>
  <si>
    <t>大槻町字針生北30-5</t>
  </si>
  <si>
    <t>Camping toys,bag</t>
  </si>
  <si>
    <t>プラスチック</t>
  </si>
  <si>
    <t xml:space="preserve"> 大阪府大阪市東住吉区住道矢田七丁目１０番１３号</t>
  </si>
  <si>
    <t>365027492734</t>
  </si>
  <si>
    <t>JEONG EUI KYEOM</t>
  </si>
  <si>
    <t>070-9111-3307</t>
  </si>
  <si>
    <t>千代田区神田佐久間4-15-1</t>
  </si>
  <si>
    <t>PREMIUM CUBE 秋葉原1301号</t>
  </si>
  <si>
    <t>365027492970</t>
  </si>
  <si>
    <t>安居 彰子</t>
  </si>
  <si>
    <t>145-0071</t>
  </si>
  <si>
    <t>03-3722-8488</t>
  </si>
  <si>
    <t>大田区</t>
  </si>
  <si>
    <t>田園調布5-50-6</t>
  </si>
  <si>
    <t>365027493386</t>
  </si>
  <si>
    <t>隈井 慶 [クマイ ケイ]</t>
  </si>
  <si>
    <t>252-0804</t>
  </si>
  <si>
    <t>080-5385-4790</t>
  </si>
  <si>
    <t>藤沢市</t>
  </si>
  <si>
    <t>湘南台1-21-18-301</t>
  </si>
  <si>
    <t>365027492896</t>
  </si>
  <si>
    <t>江尻 知穂</t>
  </si>
  <si>
    <t>464-0013</t>
  </si>
  <si>
    <t>070-2216-7412</t>
  </si>
  <si>
    <t>名古屋市千種区</t>
  </si>
  <si>
    <t>汁谷町4-1 ヴィークステージ茶屋ヶ坂フォレストテラスF103</t>
  </si>
  <si>
    <t>Alarm clock</t>
  </si>
  <si>
    <t>365027493364</t>
  </si>
  <si>
    <t>鎌田 利美</t>
  </si>
  <si>
    <t>299-2721</t>
  </si>
  <si>
    <t>0470-47-3985</t>
  </si>
  <si>
    <t>千葉県</t>
  </si>
  <si>
    <t>南房総市</t>
  </si>
  <si>
    <t>和田町五十蔵69ー1</t>
  </si>
  <si>
    <t>Children's educational toys</t>
  </si>
  <si>
    <t>365027492760</t>
  </si>
  <si>
    <t>塩澤 秀幸</t>
  </si>
  <si>
    <t>400-0042</t>
  </si>
  <si>
    <t>055-222-3235</t>
  </si>
  <si>
    <t>山梨県</t>
  </si>
  <si>
    <t>甲府市</t>
  </si>
  <si>
    <t>高畑1-17-13</t>
  </si>
  <si>
    <t>365027493445</t>
  </si>
  <si>
    <t>池田 美月 [イケダ ミヅキ]</t>
  </si>
  <si>
    <t>061-1354</t>
  </si>
  <si>
    <t>080-4470-1349</t>
  </si>
  <si>
    <t>楽天-sepco</t>
  </si>
  <si>
    <t xml:space="preserve"> 070-5589-7493</t>
  </si>
  <si>
    <t>島松旭町2丁目5番20号</t>
  </si>
  <si>
    <t>Skating shoes</t>
  </si>
  <si>
    <t xml:space="preserve"> 中区大手町1-1-26-305大手町一番ビル</t>
  </si>
  <si>
    <t>365027468901</t>
  </si>
  <si>
    <t>西村サカエ</t>
  </si>
  <si>
    <t>520-3315</t>
  </si>
  <si>
    <t>08031027463</t>
  </si>
  <si>
    <t>甲賀市甲南町塩野 306 滋賀県</t>
  </si>
  <si>
    <t>Optical level</t>
  </si>
  <si>
    <t>365027468890</t>
  </si>
  <si>
    <t>中尾　広志</t>
  </si>
  <si>
    <t>859-3929</t>
  </si>
  <si>
    <t>09025121821</t>
  </si>
  <si>
    <t>東彼杵郡東彼杵町里郷1178-2 長崎県</t>
  </si>
  <si>
    <t>365027470614</t>
  </si>
  <si>
    <t>五井</t>
  </si>
  <si>
    <t>335-0021</t>
  </si>
  <si>
    <t>8097169507</t>
  </si>
  <si>
    <t>埼玉県戸田市新曽802-2 エクリューズ 204</t>
  </si>
  <si>
    <t>365027493574</t>
  </si>
  <si>
    <t>宮丘 輝一郎</t>
  </si>
  <si>
    <t>880-0926</t>
  </si>
  <si>
    <t>090-7478-6910</t>
  </si>
  <si>
    <t>宮崎県</t>
  </si>
  <si>
    <t>宮崎市</t>
  </si>
  <si>
    <t>月見ケ丘4-21-23</t>
  </si>
  <si>
    <t>365027492664</t>
  </si>
  <si>
    <t>西日本保険サービス 堀</t>
  </si>
  <si>
    <t>658-0064</t>
  </si>
  <si>
    <t>090-9051-1206</t>
  </si>
  <si>
    <t>兵庫県</t>
  </si>
  <si>
    <t>神戸市</t>
  </si>
  <si>
    <t>東灘区鴨子ヶ原3丁目7番25ー2号</t>
  </si>
  <si>
    <t>Solar outdoor lamp,solar light</t>
  </si>
  <si>
    <t>365027469262</t>
  </si>
  <si>
    <t>津田朋美</t>
  </si>
  <si>
    <t>577-0806</t>
  </si>
  <si>
    <t>080-9749-7494</t>
  </si>
  <si>
    <t>大阪府東大阪市上小阪2-8-12</t>
  </si>
  <si>
    <t>365027493810</t>
  </si>
  <si>
    <t>小川 香織 [オガワ カオリ]</t>
  </si>
  <si>
    <t>004-0003</t>
  </si>
  <si>
    <t>011-556-5838</t>
  </si>
  <si>
    <t>厚別東三条3丁目9-30</t>
  </si>
  <si>
    <t>Night light</t>
  </si>
  <si>
    <t>365027493025</t>
  </si>
  <si>
    <t>岩井 綾 [イワイ アヤ]</t>
  </si>
  <si>
    <t>331-0045</t>
  </si>
  <si>
    <t>080-5379-3586</t>
  </si>
  <si>
    <t>楽天-OBSESSION-L</t>
  </si>
  <si>
    <t xml:space="preserve"> 05036359867</t>
  </si>
  <si>
    <t>さいたま市西区</t>
  </si>
  <si>
    <t>内野本郷303-13</t>
  </si>
  <si>
    <t>Fan</t>
  </si>
  <si>
    <t xml:space="preserve"> 西成区北津守４－１３－４３</t>
  </si>
  <si>
    <t>365027469251</t>
  </si>
  <si>
    <t>大杉真奈美</t>
  </si>
  <si>
    <t>707-0412</t>
  </si>
  <si>
    <t>090-3176-7042</t>
  </si>
  <si>
    <t>岡山県美作市古町1902-1</t>
  </si>
  <si>
    <t>heater</t>
  </si>
  <si>
    <t>365027469903</t>
  </si>
  <si>
    <t>365027469295</t>
  </si>
  <si>
    <t>鉄山高</t>
  </si>
  <si>
    <t>879-3104</t>
  </si>
  <si>
    <t>080-5608-1968</t>
  </si>
  <si>
    <t>大分県佐伯市直川仁田原７９８番地-1</t>
  </si>
  <si>
    <t>dashcam</t>
  </si>
  <si>
    <t>365027470625</t>
  </si>
  <si>
    <t>FUKUNAGA KATSUSHIKA</t>
  </si>
  <si>
    <t>134-0092</t>
  </si>
  <si>
    <t>03-3877-5550</t>
  </si>
  <si>
    <t>NO.3000 ICHINOECHO EDOGAWA-KU TOKYO</t>
  </si>
  <si>
    <t>Humidifier</t>
  </si>
  <si>
    <t>365027492922</t>
  </si>
  <si>
    <t>樽井 大輔</t>
  </si>
  <si>
    <t>676-0011</t>
  </si>
  <si>
    <t>080-3767-2140</t>
  </si>
  <si>
    <t>高砂市</t>
  </si>
  <si>
    <t>荒井町小松原3丁目1ー3ー202 オリエンタルマンションI</t>
  </si>
  <si>
    <t>365027493353</t>
  </si>
  <si>
    <t>向井 公幸</t>
  </si>
  <si>
    <t>879-5102</t>
  </si>
  <si>
    <t>090-8663-5992</t>
  </si>
  <si>
    <t>5 star trust</t>
  </si>
  <si>
    <t xml:space="preserve"> 0672209304</t>
  </si>
  <si>
    <t>大分県</t>
  </si>
  <si>
    <t>由布市</t>
  </si>
  <si>
    <t>湯布院町川上331-10</t>
  </si>
  <si>
    <t xml:space="preserve"> 大阪府富田林市平町１－４１０３－１</t>
  </si>
  <si>
    <t>365027493692</t>
  </si>
  <si>
    <t>米山 智子 [ヨネヤマ トモコ]</t>
  </si>
  <si>
    <t>380-0941</t>
  </si>
  <si>
    <t>090-1611-6989</t>
  </si>
  <si>
    <t>長野県</t>
  </si>
  <si>
    <t>長野市</t>
  </si>
  <si>
    <t>安茂里1728-2</t>
  </si>
  <si>
    <t>365027493036</t>
  </si>
  <si>
    <t>山田 美代子 [ヤマダ ミヨコ]</t>
  </si>
  <si>
    <t>753-0851</t>
  </si>
  <si>
    <t>090-9737-8286</t>
  </si>
  <si>
    <t>山口市</t>
  </si>
  <si>
    <t>黒川642-15</t>
  </si>
  <si>
    <t>365027493762</t>
  </si>
  <si>
    <t>片山 健丸 [カタヤマ タケマル]</t>
  </si>
  <si>
    <t>240-0023</t>
  </si>
  <si>
    <t>080-3478-2293</t>
  </si>
  <si>
    <t>横浜市保土ケ谷区</t>
  </si>
  <si>
    <t>岩井町222 保土ヶ谷フラット3号棟317号</t>
  </si>
  <si>
    <t>365027470603</t>
  </si>
  <si>
    <t>365027493390</t>
  </si>
  <si>
    <t>加我 しおり [カガ シオリ]</t>
  </si>
  <si>
    <t>059-0907</t>
  </si>
  <si>
    <t>090-5071-6421</t>
  </si>
  <si>
    <t>白老郡白老町</t>
  </si>
  <si>
    <t>末広町4丁目10-7</t>
  </si>
  <si>
    <t>Toy car</t>
  </si>
  <si>
    <t>365027469936</t>
  </si>
  <si>
    <t>365027493821</t>
  </si>
  <si>
    <t>長井 千晶 [ナガイ チアキ]</t>
  </si>
  <si>
    <t>776-0013</t>
  </si>
  <si>
    <t>080-5669-9363</t>
  </si>
  <si>
    <t>徳島県</t>
  </si>
  <si>
    <t>吉野川市</t>
  </si>
  <si>
    <t>鴨島町上下島字野神ノ元125-1 五九郎ビル2F</t>
  </si>
  <si>
    <t>Storage bag</t>
  </si>
  <si>
    <t>365027493681</t>
  </si>
  <si>
    <t>道用 明日香 [ドウヨウ アスカ]</t>
  </si>
  <si>
    <t>565-0854</t>
  </si>
  <si>
    <t>080-3134-0325</t>
  </si>
  <si>
    <t>吹田市</t>
  </si>
  <si>
    <t>桃山台2-3-8 アンビエラ桃山台208</t>
  </si>
  <si>
    <t>bag,toy</t>
  </si>
  <si>
    <t>365027493725</t>
  </si>
  <si>
    <t>小川 容江 [オガワ ヨウコ]</t>
  </si>
  <si>
    <t>899-2707</t>
  </si>
  <si>
    <t>080-5242-1674</t>
  </si>
  <si>
    <t>楽天-さのののストア</t>
  </si>
  <si>
    <t xml:space="preserve"> 050-8882-6402</t>
  </si>
  <si>
    <t>鹿児島県</t>
  </si>
  <si>
    <t>鹿児島市</t>
  </si>
  <si>
    <t>松陽台町40番地県営住宅松陽台団地34棟104</t>
  </si>
  <si>
    <t>towel,bag,toy</t>
  </si>
  <si>
    <t xml:space="preserve"> 和歌山県和歌山市西釘貫丁２－５３プレミール石川５０２</t>
  </si>
  <si>
    <t>365027493504</t>
  </si>
  <si>
    <t>田野 宏一 [タノ ヒロカズ]</t>
  </si>
  <si>
    <t>339-0056</t>
  </si>
  <si>
    <t>090-5307-7518</t>
  </si>
  <si>
    <t>さいたま市岩槻区</t>
  </si>
  <si>
    <t>加倉 4-12-3</t>
  </si>
  <si>
    <t>pen box</t>
  </si>
  <si>
    <t>365027469914</t>
  </si>
  <si>
    <t>365027493714</t>
  </si>
  <si>
    <t>山碕 諒介 [ヤマザキ リョウスケ]</t>
  </si>
  <si>
    <t>090-6911-8684</t>
  </si>
  <si>
    <t>荒井町小松原3丁目13番10-5</t>
  </si>
  <si>
    <t>Musical instrument toys</t>
  </si>
  <si>
    <t>wood</t>
  </si>
  <si>
    <t>365027472176</t>
  </si>
  <si>
    <t>藤原 励</t>
  </si>
  <si>
    <t>221-0854</t>
  </si>
  <si>
    <t>08031909562</t>
  </si>
  <si>
    <t>神奈川県横浜市神奈川区三ツ沢南町17-13-106</t>
  </si>
  <si>
    <t>365027472154</t>
  </si>
  <si>
    <t>Ayako Uehara</t>
  </si>
  <si>
    <t>414-0051</t>
  </si>
  <si>
    <t>090-9175-9406</t>
  </si>
  <si>
    <t>静岡県伊東市吉田79-5</t>
  </si>
  <si>
    <t>365027493622</t>
  </si>
  <si>
    <t>日紫喜 隆 [ヒシキ タカシ]</t>
  </si>
  <si>
    <t>565-0831</t>
  </si>
  <si>
    <t>090-3844-5119</t>
  </si>
  <si>
    <t>五月が丘東6-B-1307</t>
  </si>
  <si>
    <t>Binoculars</t>
  </si>
  <si>
    <t>365027493202</t>
  </si>
  <si>
    <t>とし内科 田中稔之 [トシナイカ タナカトシユキ]</t>
  </si>
  <si>
    <t>671-1523</t>
  </si>
  <si>
    <t>080-6103-5739</t>
  </si>
  <si>
    <t>揖保郡太子町</t>
  </si>
  <si>
    <t>東南344-6</t>
  </si>
  <si>
    <t>Detector</t>
  </si>
  <si>
    <t>365027492944</t>
  </si>
  <si>
    <t>本間 美穂 [ホンマ ミホ]</t>
  </si>
  <si>
    <t>085-0065</t>
  </si>
  <si>
    <t>090-2600-2397</t>
  </si>
  <si>
    <t>美原四丁目5-18 美原四丁目宿舎 102号室</t>
  </si>
  <si>
    <t>Fever scarf</t>
  </si>
  <si>
    <t>365027493224</t>
  </si>
  <si>
    <t>エルファースト株式会社 石田剛大 [エルファースト イシダタカオ]</t>
  </si>
  <si>
    <t>372-0014</t>
  </si>
  <si>
    <t>070-9075-0358</t>
  </si>
  <si>
    <t>伊勢崎市</t>
  </si>
  <si>
    <t>昭和町1689-4</t>
  </si>
  <si>
    <t>365027493703</t>
  </si>
  <si>
    <t>神谷 友梨 [カミヤ ユリ]</t>
  </si>
  <si>
    <t>450-0003</t>
  </si>
  <si>
    <t>080-4548-8848</t>
  </si>
  <si>
    <t>名古屋市中村区</t>
  </si>
  <si>
    <t>名駅南3丁目3-16ディモーラ名駅南301</t>
  </si>
  <si>
    <t>365027493633</t>
  </si>
  <si>
    <t>香月 星乃 [カツキ セイノ]</t>
  </si>
  <si>
    <t>156-0055</t>
  </si>
  <si>
    <t>090-9395-3963</t>
  </si>
  <si>
    <t>世田谷区</t>
  </si>
  <si>
    <t>船橋6-27-1-7102025-12-16(火)</t>
  </si>
  <si>
    <t>365027493611</t>
  </si>
  <si>
    <t>横山 葵 [ヨコヤマ アオイ]</t>
  </si>
  <si>
    <t>069-0361</t>
  </si>
  <si>
    <t>080-5596-5050</t>
  </si>
  <si>
    <t>岩見沢市</t>
  </si>
  <si>
    <t>上幌向北一条5丁目758-41</t>
  </si>
  <si>
    <t>data line,Pepper mill</t>
  </si>
  <si>
    <t>365027470592</t>
  </si>
  <si>
    <t>山本剛</t>
  </si>
  <si>
    <t>435-0056</t>
  </si>
  <si>
    <t>053-468-6380</t>
  </si>
  <si>
    <t>静岡県浜松市中央区小池町2642</t>
  </si>
  <si>
    <t>365027493143</t>
  </si>
  <si>
    <t>株式会社 坂本推進</t>
  </si>
  <si>
    <t>030-0945</t>
  </si>
  <si>
    <t>017-743-3302</t>
  </si>
  <si>
    <t>青森県</t>
  </si>
  <si>
    <t>青森市</t>
  </si>
  <si>
    <t>桜川9-9-24</t>
  </si>
  <si>
    <t>Scanning pen</t>
  </si>
  <si>
    <t>365027491791</t>
  </si>
  <si>
    <t>市毛 徹 [イチゲ トオル]</t>
  </si>
  <si>
    <t>417-0856</t>
  </si>
  <si>
    <t>090-1357-3364</t>
  </si>
  <si>
    <t>富士市</t>
  </si>
  <si>
    <t>さんどまき57番地</t>
  </si>
  <si>
    <t>circuit changer</t>
  </si>
  <si>
    <t>365027493423</t>
  </si>
  <si>
    <t>網田 涼花</t>
  </si>
  <si>
    <t>522-0025</t>
  </si>
  <si>
    <t>080-5627-8932</t>
  </si>
  <si>
    <t>彦根市</t>
  </si>
  <si>
    <t>野田山町569-1 ゴールドパティー5 103</t>
  </si>
  <si>
    <t>Electronic organ toy</t>
  </si>
  <si>
    <t xml:space="preserve"> 平方 字下中谷806-1 GLP　ALFALINK8-1F　 13番</t>
  </si>
  <si>
    <t>流山市</t>
  </si>
  <si>
    <t>365027493666</t>
  </si>
  <si>
    <t>高屋 梨花 [タカヤ リカ]</t>
  </si>
  <si>
    <t>078-8231</t>
  </si>
  <si>
    <t>090-6994-3145</t>
  </si>
  <si>
    <t>金城楽天市場店</t>
  </si>
  <si>
    <t>旭川市</t>
  </si>
  <si>
    <t>豊岡1条6丁目3-18</t>
  </si>
  <si>
    <t>365027493375</t>
  </si>
  <si>
    <t>廣瀬 みちる [ヒロセ ミチル]</t>
  </si>
  <si>
    <t>164-0011</t>
  </si>
  <si>
    <t>080-6018-8209</t>
  </si>
  <si>
    <t>中野区</t>
  </si>
  <si>
    <t>中央4丁目53-4 ベルプラザ402（午前中お願い）</t>
  </si>
  <si>
    <t>365027493165</t>
  </si>
  <si>
    <t>杉本 紘史</t>
  </si>
  <si>
    <t>634-0805</t>
  </si>
  <si>
    <t>0744-35-3895</t>
  </si>
  <si>
    <t>奈良県</t>
  </si>
  <si>
    <t>橿原市</t>
  </si>
  <si>
    <t>地黄町82-31</t>
  </si>
  <si>
    <t>Polishing paste</t>
  </si>
  <si>
    <t>Alumina</t>
  </si>
  <si>
    <t>365027493014</t>
  </si>
  <si>
    <t>西間木 恵 [ニシマギ メグミ]</t>
  </si>
  <si>
    <t>324-0206</t>
  </si>
  <si>
    <t>090-2526-1670</t>
  </si>
  <si>
    <t>大田原市</t>
  </si>
  <si>
    <t>中野内1879の3</t>
  </si>
  <si>
    <t>365027493235</t>
  </si>
  <si>
    <t>株式会社ナガワ つくば営業所</t>
  </si>
  <si>
    <t>305-0868</t>
  </si>
  <si>
    <t>029-836-7502</t>
  </si>
  <si>
    <t>茨城県</t>
  </si>
  <si>
    <t>つくば市</t>
  </si>
  <si>
    <t>台町1-9-1</t>
  </si>
  <si>
    <t>365027493471</t>
  </si>
  <si>
    <t>松原 光雄 [マツバラ ミツオ]</t>
  </si>
  <si>
    <t>007-0829</t>
  </si>
  <si>
    <t>090-3115-5260</t>
  </si>
  <si>
    <t>札幌市東区</t>
  </si>
  <si>
    <t>東雁来九条2丁目11-18</t>
  </si>
  <si>
    <t>COAT</t>
  </si>
  <si>
    <t>cotton</t>
  </si>
  <si>
    <t>365027493003</t>
  </si>
  <si>
    <t>渡辺 琴美 [ワタナベ コトミ]</t>
  </si>
  <si>
    <t>692-0012</t>
  </si>
  <si>
    <t>090-6903-6070</t>
  </si>
  <si>
    <t>島根県</t>
  </si>
  <si>
    <t>安来市</t>
  </si>
  <si>
    <t>宮内町318番地7</t>
  </si>
  <si>
    <t>365027492756</t>
  </si>
  <si>
    <t>合志 崇</t>
  </si>
  <si>
    <t>208-0031</t>
  </si>
  <si>
    <t>080-9861-4568</t>
  </si>
  <si>
    <t>武蔵村山市</t>
  </si>
  <si>
    <t>岸 3-22-10 昭和コーポ武蔵村山1 101号室</t>
  </si>
  <si>
    <t>Acrylic display stand</t>
  </si>
  <si>
    <t>Acrylic</t>
  </si>
  <si>
    <t>365027491544</t>
  </si>
  <si>
    <t>有原 優 [アリハラ ユウ]</t>
  </si>
  <si>
    <t>300-2359</t>
  </si>
  <si>
    <t>080-4177-0142</t>
  </si>
  <si>
    <t>つくばみらい市</t>
  </si>
  <si>
    <t>紫峰ヶ丘5-14-2</t>
  </si>
  <si>
    <t>notepad</t>
  </si>
  <si>
    <t>paper</t>
  </si>
  <si>
    <t>365008241776</t>
  </si>
  <si>
    <t>佐藤ひなた</t>
  </si>
  <si>
    <t>162-0041</t>
  </si>
  <si>
    <t>090-8258-2793</t>
  </si>
  <si>
    <t>東京都新宿区早稲田鶴巻町112 ReveResidence早稲田203号室</t>
  </si>
  <si>
    <t>Eyelash curler</t>
  </si>
  <si>
    <t>365008241765</t>
  </si>
  <si>
    <t>田中 アイ子</t>
  </si>
  <si>
    <t>420-0911</t>
  </si>
  <si>
    <t>080-5527-0030</t>
  </si>
  <si>
    <t>静岡県静岡市葵区瀬名7-4-11</t>
  </si>
  <si>
    <t>365008241780</t>
  </si>
  <si>
    <t>田口みう</t>
  </si>
  <si>
    <t>027-0096</t>
  </si>
  <si>
    <t>080-9074-9464</t>
  </si>
  <si>
    <t>岩手県宮古市崎鍬ケ崎第４地割１−１３はまなす寮</t>
  </si>
  <si>
    <t>124票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</si>
</sst>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_ &quot;\&quot;* #,##0_ ;_ &quot;\&quot;* &quot;\&quot;&quot;\&quot;&quot;\&quot;&quot;\&quot;&quot;\&quot;&quot;\&quot;&quot;\&quot;\-#,##0_ ;_ &quot;\&quot;* &quot;-&quot;_ ;_ @_ "/>
    <numFmt numFmtId="178" formatCode="_-* #,##0\ &quot;DM&quot;_-;\-* #,##0\ &quot;DM&quot;_-;_-* &quot;-&quot;\ &quot;DM&quot;_-;_-@_-"/>
    <numFmt numFmtId="179" formatCode="0.000_)"/>
    <numFmt numFmtId="180" formatCode="_(* #,##0_);_(* &quot;\&quot;&quot;\&quot;&quot;\&quot;&quot;\&quot;&quot;\&quot;&quot;\&quot;&quot;\&quot;\(#,##0&quot;\&quot;&quot;\&quot;&quot;\&quot;&quot;\&quot;&quot;\&quot;&quot;\&quot;&quot;\&quot;\);_(* &quot;-&quot;_);_(@_)"/>
    <numFmt numFmtId="181" formatCode="&quot;DM&quot;#,##0.00;[Red]\-&quot;DM&quot;#,##0.00"/>
    <numFmt numFmtId="182" formatCode="#,##0.0_);\(#,##0.0\)"/>
    <numFmt numFmtId="183" formatCode="0%;[Red]\(0%\)"/>
    <numFmt numFmtId="184" formatCode="_(&quot;$&quot;* #,##0.00_);_(&quot;$&quot;* \(#,##0.00\);_(&quot;$&quot;* &quot;-&quot;??_);_(@_)"/>
    <numFmt numFmtId="185" formatCode="0.00_)"/>
    <numFmt numFmtId="186" formatCode="&quot;$&quot;#,##0_);\(&quot;$&quot;#,##0\)"/>
    <numFmt numFmtId="187" formatCode="_(* #,##0.00_);_(* \(#,##0.00\);_(* &quot;-&quot;??_);_(@_)"/>
    <numFmt numFmtId="188" formatCode="_(* #,##0.0000_);_(* \(#,##0.0000\);_(* &quot;-&quot;??_);_(@_)"/>
    <numFmt numFmtId="189" formatCode="&quot;       &quot;@"/>
    <numFmt numFmtId="190" formatCode="0.0%;[Red]\(0.0%\)"/>
    <numFmt numFmtId="191" formatCode="0.0%;\(0.0%\)"/>
    <numFmt numFmtId="192" formatCode="_(* #,##0_);_(* \(#,##0\);_(* &quot;-&quot;_);_(@_)"/>
    <numFmt numFmtId="193" formatCode="_(* #,##0.00000_);_(* \(#,##0.00000\);_(* &quot;-&quot;??_);_(@_)"/>
    <numFmt numFmtId="194" formatCode="#,##0.00\ &quot;F&quot;;\-#,##0.00\ &quot;F&quot;"/>
    <numFmt numFmtId="195" formatCode="dd/mmm/yy_)"/>
    <numFmt numFmtId="196" formatCode="0_)"/>
    <numFmt numFmtId="197" formatCode="mmmmddyy"/>
    <numFmt numFmtId="198" formatCode="_-* #,##0\ _D_M_-;\-* #,##0\ _D_M_-;_-* &quot;-&quot;\ _D_M_-;_-@_-"/>
    <numFmt numFmtId="199" formatCode="yyyyddmmmm"/>
    <numFmt numFmtId="200" formatCode="&quot;$&quot;#,##0.00_);[Red]&quot;\&quot;&quot;\&quot;&quot;\&quot;&quot;\&quot;&quot;\&quot;&quot;\&quot;&quot;\&quot;\(&quot;$&quot;#,##0.00&quot;\&quot;&quot;\&quot;&quot;\&quot;&quot;\&quot;&quot;\&quot;&quot;\&quot;&quot;\&quot;\)"/>
    <numFmt numFmtId="201" formatCode="&quot;$&quot;#,##0.00_);&quot;\&quot;&quot;\&quot;&quot;\&quot;&quot;\&quot;&quot;\&quot;&quot;\&quot;&quot;\&quot;\(&quot;$&quot;#,##0.00&quot;\&quot;&quot;\&quot;&quot;\&quot;&quot;\&quot;&quot;\&quot;&quot;\&quot;&quot;\&quot;\)"/>
    <numFmt numFmtId="202" formatCode="_(&quot;$&quot;* #,##0_);_(&quot;$&quot;* &quot;\&quot;&quot;\&quot;&quot;\&quot;&quot;\&quot;&quot;\&quot;&quot;\&quot;&quot;\&quot;\(#,##0&quot;\&quot;&quot;\&quot;&quot;\&quot;&quot;\&quot;&quot;\&quot;&quot;\&quot;&quot;\&quot;\);_(&quot;$&quot;* &quot;-&quot;_);_(@_)"/>
    <numFmt numFmtId="203" formatCode="_-&quot;$&quot;* #,##0.00_-;\-&quot;$&quot;* #,##0.00_-;_-&quot;$&quot;* &quot;-&quot;??_-;_-@_-"/>
    <numFmt numFmtId="204" formatCode="_(* #,##0_);_(* \(#,##0\);_(* &quot;-&quot;_)"/>
    <numFmt numFmtId="205" formatCode="_-* #,##0_-;\-* #,##0_-;_-* &quot;-&quot;_-;_-@_-"/>
    <numFmt numFmtId="206" formatCode="0%;\(0%\)"/>
    <numFmt numFmtId="207" formatCode="&quot;$&quot;#,##0.00"/>
    <numFmt numFmtId="208" formatCode="&quot;   &quot;@"/>
    <numFmt numFmtId="209" formatCode="_(&quot;$&quot;* #,##0_);_(&quot;$&quot;* \(#,##0\);_(&quot;$&quot;* &quot;-&quot;_);_(@_)"/>
    <numFmt numFmtId="210" formatCode="_-&quot;$&quot;* #,##0_-;\-&quot;$&quot;* #,##0_-;_-&quot;$&quot;* &quot;-&quot;_-;_-@_-"/>
    <numFmt numFmtId="211" formatCode="_-* #,##0.00_-;\-* #,##0.00_-;_-* &quot;-&quot;??_-;_-@_-"/>
    <numFmt numFmtId="212" formatCode="0_);[Red]\(0\)"/>
    <numFmt numFmtId="213" formatCode="0.0_ "/>
    <numFmt numFmtId="214" formatCode="0_ "/>
    <numFmt numFmtId="215" formatCode="0.00_ "/>
  </numFmts>
  <fonts count="149">
    <font>
      <sz val="11"/>
      <color theme="1"/>
      <name val="DengXian"/>
      <charset val="134"/>
      <scheme val="minor"/>
    </font>
    <font>
      <sz val="12"/>
      <name val="ＭＳ 明朝"/>
      <charset val="134"/>
    </font>
    <font>
      <sz val="12"/>
      <name val="Noto Sans JP"/>
      <charset val="134"/>
    </font>
    <font>
      <sz val="12"/>
      <name val="DengXian"/>
      <charset val="128"/>
      <scheme val="minor"/>
    </font>
    <font>
      <sz val="11"/>
      <color rgb="FFFF0000"/>
      <name val="DengXian"/>
      <charset val="134"/>
      <scheme val="minor"/>
    </font>
    <font>
      <sz val="12"/>
      <name val="宋体"/>
      <charset val="134"/>
    </font>
    <font>
      <sz val="12"/>
      <name val="游ゴシック"/>
      <charset val="128"/>
    </font>
    <font>
      <sz val="12"/>
      <name val="ＭＳ 明朝"/>
      <charset val="128"/>
    </font>
    <font>
      <sz val="11"/>
      <color rgb="FF000000"/>
      <name val="ＭＳ 明朝"/>
      <charset val="134"/>
    </font>
    <font>
      <b/>
      <sz val="11"/>
      <color theme="1"/>
      <name val="ＭＳ 明朝"/>
      <charset val="134"/>
    </font>
    <font>
      <sz val="11"/>
      <color theme="1"/>
      <name val="ＭＳ 明朝"/>
      <charset val="134"/>
    </font>
    <font>
      <sz val="12"/>
      <color rgb="FFFF0000"/>
      <name val="ＭＳ 明朝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sz val="10"/>
      <name val="Geneva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sz val="11"/>
      <color indexed="9"/>
      <name val="Calibri"/>
      <charset val="134"/>
    </font>
    <font>
      <sz val="12"/>
      <color theme="1"/>
      <name val="DengXian"/>
      <charset val="134"/>
      <scheme val="minor"/>
    </font>
    <font>
      <sz val="8"/>
      <name val="Times New Roman"/>
      <charset val="134"/>
    </font>
    <font>
      <sz val="11"/>
      <color indexed="8"/>
      <name val="新細明體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1"/>
      <name val=""/>
      <charset val="134"/>
    </font>
    <font>
      <sz val="11"/>
      <color indexed="8"/>
      <name val="Calibri"/>
      <charset val="134"/>
    </font>
    <font>
      <sz val="11"/>
      <color indexed="54"/>
      <name val="新細明體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theme="1"/>
      <name val="DengXian"/>
      <charset val="134"/>
    </font>
    <font>
      <sz val="12"/>
      <name val="Arial Narrow"/>
      <charset val="134"/>
    </font>
    <font>
      <sz val="11"/>
      <color indexed="20"/>
      <name val="宋体"/>
      <charset val="134"/>
    </font>
    <font>
      <sz val="11"/>
      <name val="ＭＳ Ｐゴシック"/>
      <charset val="134"/>
    </font>
    <font>
      <sz val="10"/>
      <name val="Verdana"/>
      <charset val="134"/>
    </font>
    <font>
      <b/>
      <sz val="11"/>
      <color indexed="52"/>
      <name val="宋体"/>
      <charset val="134"/>
    </font>
    <font>
      <b/>
      <sz val="14"/>
      <name val="Frutiger"/>
      <charset val="134"/>
    </font>
    <font>
      <sz val="11"/>
      <color indexed="52"/>
      <name val="宋体"/>
      <charset val="134"/>
    </font>
    <font>
      <b/>
      <sz val="11"/>
      <color indexed="63"/>
      <name val="新細明體"/>
      <charset val="134"/>
    </font>
    <font>
      <sz val="11"/>
      <color indexed="10"/>
      <name val="新細明體"/>
      <charset val="134"/>
    </font>
    <font>
      <sz val="10"/>
      <name val="Times New Roman"/>
      <charset val="134"/>
    </font>
    <font>
      <sz val="11"/>
      <name val="Tms Rmn"/>
      <charset val="134"/>
    </font>
    <font>
      <sz val="11"/>
      <color indexed="9"/>
      <name val="新細明體"/>
      <charset val="134"/>
    </font>
    <font>
      <sz val="11"/>
      <color indexed="60"/>
      <name val="Calibri"/>
      <charset val="134"/>
    </font>
    <font>
      <b/>
      <sz val="11"/>
      <color indexed="56"/>
      <name val="宋体"/>
      <charset val="134"/>
    </font>
    <font>
      <sz val="11"/>
      <color indexed="60"/>
      <name val="新細明體"/>
      <charset val="134"/>
    </font>
    <font>
      <b/>
      <sz val="11"/>
      <color indexed="9"/>
      <name val="宋体"/>
      <charset val="134"/>
    </font>
    <font>
      <sz val="10"/>
      <name val="Minion-Regular"/>
      <charset val="134"/>
    </font>
    <font>
      <b/>
      <sz val="8"/>
      <name val="MS Sans Serif"/>
      <charset val="134"/>
    </font>
    <font>
      <b/>
      <sz val="11"/>
      <color indexed="49"/>
      <name val="新細明體"/>
      <charset val="134"/>
    </font>
    <font>
      <b/>
      <sz val="10"/>
      <name val="Frutiger"/>
      <charset val="134"/>
    </font>
    <font>
      <b/>
      <sz val="12"/>
      <name val="Arial"/>
      <charset val="134"/>
    </font>
    <font>
      <sz val="11"/>
      <color theme="1"/>
      <name val="微軟正黑體"/>
      <charset val="136"/>
    </font>
    <font>
      <b/>
      <sz val="11"/>
      <color indexed="63"/>
      <name val="宋体"/>
      <charset val="134"/>
    </font>
    <font>
      <b/>
      <sz val="11"/>
      <color indexed="56"/>
      <name val="新細明體"/>
      <charset val="134"/>
    </font>
    <font>
      <sz val="8"/>
      <name val="Arial"/>
      <charset val="134"/>
    </font>
    <font>
      <b/>
      <sz val="10"/>
      <name val="新細明體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2"/>
      <color indexed="20"/>
      <name val="宋体"/>
      <charset val="134"/>
    </font>
    <font>
      <i/>
      <sz val="11"/>
      <color indexed="23"/>
      <name val="新細明體"/>
      <charset val="134"/>
    </font>
    <font>
      <u/>
      <sz val="12"/>
      <color indexed="12"/>
      <name val="宋体"/>
      <charset val="134"/>
    </font>
    <font>
      <sz val="10"/>
      <name val="Tms Rmn"/>
      <charset val="134"/>
    </font>
    <font>
      <b/>
      <sz val="13"/>
      <color indexed="56"/>
      <name val="宋体"/>
      <charset val="134"/>
    </font>
    <font>
      <b/>
      <sz val="13"/>
      <color indexed="49"/>
      <name val="新細明體"/>
      <charset val="134"/>
    </font>
    <font>
      <b/>
      <sz val="13"/>
      <color indexed="49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4"/>
    </font>
    <font>
      <sz val="11"/>
      <color theme="1"/>
      <name val="Tahoma"/>
      <charset val="134"/>
    </font>
    <font>
      <b/>
      <sz val="18"/>
      <color indexed="56"/>
      <name val="新細明體"/>
      <charset val="134"/>
    </font>
    <font>
      <sz val="10"/>
      <name val="MS Serif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b/>
      <sz val="18"/>
      <color indexed="49"/>
      <name val="新細明體"/>
      <charset val="134"/>
    </font>
    <font>
      <b/>
      <sz val="18"/>
      <color indexed="49"/>
      <name val="Cambria"/>
      <charset val="134"/>
    </font>
    <font>
      <b/>
      <sz val="18"/>
      <color indexed="56"/>
      <name val="Cambria"/>
      <charset val="134"/>
    </font>
    <font>
      <sz val="12"/>
      <color indexed="17"/>
      <name val="宋体"/>
      <charset val="134"/>
    </font>
    <font>
      <sz val="8"/>
      <name val="Helv"/>
      <charset val="134"/>
    </font>
    <font>
      <sz val="8"/>
      <name val="MS Sans Serif"/>
      <charset val="134"/>
    </font>
    <font>
      <u/>
      <sz val="10"/>
      <color indexed="12"/>
      <name val="Minion-Regular"/>
      <charset val="134"/>
    </font>
    <font>
      <sz val="11"/>
      <color indexed="17"/>
      <name val="新細明體"/>
      <charset val="134"/>
    </font>
    <font>
      <sz val="11"/>
      <color indexed="20"/>
      <name val="新細明體"/>
      <charset val="134"/>
    </font>
    <font>
      <sz val="11"/>
      <color indexed="20"/>
      <name val="Calibri"/>
      <charset val="134"/>
    </font>
    <font>
      <b/>
      <sz val="15"/>
      <color indexed="56"/>
      <name val="宋体"/>
      <charset val="134"/>
    </font>
    <font>
      <b/>
      <sz val="11"/>
      <color indexed="52"/>
      <name val="新細明體"/>
      <charset val="134"/>
    </font>
    <font>
      <b/>
      <sz val="11"/>
      <color indexed="52"/>
      <name val="Calibri"/>
      <charset val="134"/>
    </font>
    <font>
      <sz val="10"/>
      <name val="Palatino"/>
      <charset val="134"/>
    </font>
    <font>
      <b/>
      <sz val="11"/>
      <color indexed="9"/>
      <name val="新細明體"/>
      <charset val="134"/>
    </font>
    <font>
      <sz val="11"/>
      <color indexed="20"/>
      <name val="华文细黑"/>
      <charset val="134"/>
    </font>
    <font>
      <b/>
      <sz val="11"/>
      <color indexed="9"/>
      <name val="Calibri"/>
      <charset val="134"/>
    </font>
    <font>
      <u/>
      <sz val="12"/>
      <color indexed="20"/>
      <name val="宋体"/>
      <charset val="134"/>
    </font>
    <font>
      <sz val="10"/>
      <name val="Courier"/>
      <charset val="134"/>
    </font>
    <font>
      <sz val="10"/>
      <color indexed="16"/>
      <name val="MS Serif"/>
      <charset val="134"/>
    </font>
    <font>
      <i/>
      <sz val="11"/>
      <color indexed="23"/>
      <name val="宋体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49"/>
      <name val="新細明體"/>
      <charset val="134"/>
    </font>
    <font>
      <u/>
      <sz val="11"/>
      <color theme="10"/>
      <name val="DengXian"/>
      <charset val="134"/>
    </font>
    <font>
      <b/>
      <sz val="15"/>
      <color indexed="49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新細明體"/>
      <charset val="134"/>
    </font>
    <font>
      <sz val="11"/>
      <color indexed="60"/>
      <name val="宋体"/>
      <charset val="134"/>
    </font>
    <font>
      <b/>
      <sz val="11"/>
      <color indexed="49"/>
      <name val="Calibri"/>
      <charset val="134"/>
    </font>
    <font>
      <b/>
      <sz val="11"/>
      <color indexed="56"/>
      <name val="Calibri"/>
      <charset val="134"/>
    </font>
    <font>
      <sz val="12"/>
      <name val="新細明體"/>
      <charset val="134"/>
    </font>
    <font>
      <u/>
      <sz val="10"/>
      <color indexed="12"/>
      <name val="Arial"/>
      <charset val="134"/>
    </font>
    <font>
      <u/>
      <sz val="8"/>
      <color indexed="12"/>
      <name val="Times New Roman"/>
      <charset val="134"/>
    </font>
    <font>
      <sz val="11"/>
      <color indexed="62"/>
      <name val="宋体"/>
      <charset val="134"/>
    </font>
    <font>
      <sz val="11"/>
      <color indexed="62"/>
      <name val="新細明體"/>
      <charset val="134"/>
    </font>
    <font>
      <sz val="11"/>
      <color indexed="54"/>
      <name val="Calibri"/>
      <charset val="134"/>
    </font>
    <font>
      <sz val="11"/>
      <color indexed="62"/>
      <name val="Calibri"/>
      <charset val="134"/>
    </font>
    <font>
      <sz val="11"/>
      <color indexed="52"/>
      <name val="新細明體"/>
      <charset val="134"/>
    </font>
    <font>
      <sz val="11"/>
      <color indexed="52"/>
      <name val="Calibri"/>
      <charset val="134"/>
    </font>
    <font>
      <b/>
      <sz val="10"/>
      <name val="MS Sans Serif"/>
      <charset val="134"/>
    </font>
    <font>
      <sz val="10"/>
      <color indexed="10"/>
      <name val="Minion-Regular"/>
      <charset val="134"/>
    </font>
    <font>
      <b/>
      <sz val="11"/>
      <color indexed="8"/>
      <name val="宋体"/>
      <charset val="134"/>
    </font>
    <font>
      <sz val="12"/>
      <color theme="1"/>
      <name val="DengXian"/>
      <charset val="134"/>
    </font>
    <font>
      <sz val="11"/>
      <color indexed="17"/>
      <name val="华文细黑"/>
      <charset val="134"/>
    </font>
    <font>
      <b/>
      <sz val="11"/>
      <color indexed="63"/>
      <name val="Calibri"/>
      <charset val="134"/>
    </font>
    <font>
      <b/>
      <sz val="8"/>
      <color indexed="8"/>
      <name val="Helv"/>
      <charset val="134"/>
    </font>
    <font>
      <b/>
      <sz val="11"/>
      <color indexed="8"/>
      <name val="新細明體"/>
      <charset val="134"/>
    </font>
    <font>
      <b/>
      <sz val="11"/>
      <color indexed="8"/>
      <name val="Calibri"/>
      <charset val="134"/>
    </font>
    <font>
      <sz val="11"/>
      <color indexed="8"/>
      <name val="Arial"/>
      <charset val="134"/>
    </font>
    <font>
      <sz val="10"/>
      <name val="標準明朝"/>
      <charset val="134"/>
    </font>
    <font>
      <sz val="12"/>
      <name val="Times New Roman"/>
      <charset val="134"/>
    </font>
    <font>
      <sz val="11"/>
      <name val="돋움"/>
      <charset val="134"/>
    </font>
  </fonts>
  <fills count="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2"/>
        <bgColor indexed="64"/>
      </patternFill>
    </fill>
    <fill>
      <patternFill patternType="darkVertical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2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176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5" fillId="0" borderId="0"/>
    <xf numFmtId="0" fontId="36" fillId="0" borderId="0">
      <alignment vertical="top"/>
    </xf>
    <xf numFmtId="0" fontId="36" fillId="39" borderId="0" applyNumberFormat="0" applyBorder="0" applyAlignment="0" applyProtection="0">
      <alignment vertical="center"/>
    </xf>
    <xf numFmtId="0" fontId="5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41" fillId="0" borderId="0"/>
    <xf numFmtId="0" fontId="42" fillId="0" borderId="0">
      <alignment horizontal="center" vertical="center" wrapText="1"/>
      <protection locked="0"/>
    </xf>
    <xf numFmtId="0" fontId="37" fillId="0" borderId="0"/>
    <xf numFmtId="0" fontId="43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8" fillId="0" borderId="0" applyBorder="0">
      <alignment vertical="center"/>
    </xf>
    <xf numFmtId="0" fontId="46" fillId="0" borderId="0">
      <alignment vertical="top"/>
    </xf>
    <xf numFmtId="0" fontId="36" fillId="41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  <xf numFmtId="0" fontId="43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3" borderId="11" applyNumberForma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8" fillId="0" borderId="0"/>
    <xf numFmtId="0" fontId="36" fillId="43" borderId="0" applyNumberFormat="0" applyBorder="0" applyAlignment="0" applyProtection="0">
      <alignment vertical="center"/>
    </xf>
    <xf numFmtId="0" fontId="5" fillId="0" borderId="0" applyBorder="0"/>
    <xf numFmtId="0" fontId="51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47" fillId="0" borderId="0"/>
    <xf numFmtId="0" fontId="49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" fillId="0" borderId="0" applyFont="0" applyFill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53" fillId="0" borderId="0">
      <alignment vertical="center"/>
    </xf>
    <xf numFmtId="0" fontId="44" fillId="3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54" fillId="0" borderId="0">
      <alignment vertical="center"/>
    </xf>
    <xf numFmtId="176" fontId="38" fillId="0" borderId="0">
      <alignment vertical="center"/>
    </xf>
    <xf numFmtId="0" fontId="55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8" fillId="0" borderId="0">
      <alignment vertical="center"/>
    </xf>
    <xf numFmtId="0" fontId="43" fillId="44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56" fillId="0" borderId="0">
      <alignment vertical="center"/>
    </xf>
    <xf numFmtId="0" fontId="57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58" fillId="46" borderId="11" applyNumberFormat="0" applyAlignment="0" applyProtection="0">
      <alignment vertical="center"/>
    </xf>
    <xf numFmtId="49" fontId="59" fillId="0" borderId="0">
      <alignment horizontal="left" vertical="center"/>
    </xf>
    <xf numFmtId="0" fontId="49" fillId="37" borderId="0" applyNumberFormat="0" applyBorder="0" applyAlignment="0" applyProtection="0">
      <alignment vertical="center"/>
    </xf>
    <xf numFmtId="0" fontId="36" fillId="0" borderId="0"/>
    <xf numFmtId="0" fontId="60" fillId="0" borderId="12" applyNumberFormat="0" applyFill="0" applyAlignment="0" applyProtection="0">
      <alignment vertical="center"/>
    </xf>
    <xf numFmtId="0" fontId="61" fillId="42" borderId="1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44" fillId="5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3" fillId="0" borderId="0">
      <alignment vertical="center"/>
    </xf>
    <xf numFmtId="0" fontId="63" fillId="0" borderId="0">
      <alignment vertical="center"/>
    </xf>
    <xf numFmtId="179" fontId="64" fillId="0" borderId="0">
      <alignment vertical="center"/>
    </xf>
    <xf numFmtId="180" fontId="57" fillId="0" borderId="0" applyFont="0" applyFill="0" applyBorder="0" applyAlignment="0" applyProtection="0">
      <alignment vertical="center"/>
    </xf>
    <xf numFmtId="0" fontId="65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14" fontId="46" fillId="0" borderId="0" applyFill="0" applyBorder="0" applyAlignment="0">
      <alignment vertical="center"/>
    </xf>
    <xf numFmtId="0" fontId="49" fillId="43" borderId="0" applyNumberFormat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9" fillId="54" borderId="15" applyNumberFormat="0" applyAlignment="0" applyProtection="0">
      <alignment vertical="center"/>
    </xf>
    <xf numFmtId="0" fontId="70" fillId="0" borderId="1">
      <alignment horizontal="center" vertical="center"/>
    </xf>
    <xf numFmtId="0" fontId="5" fillId="0" borderId="0" applyProtection="0">
      <alignment vertical="center"/>
    </xf>
    <xf numFmtId="0" fontId="71" fillId="0" borderId="0">
      <alignment horizontal="center" vertical="center"/>
    </xf>
    <xf numFmtId="0" fontId="44" fillId="55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81" fontId="57" fillId="0" borderId="0" applyFont="0" applyFill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57" fillId="57" borderId="16" applyNumberFormat="0" applyFont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49" fontId="73" fillId="48" borderId="1">
      <alignment horizontal="center" vertical="center"/>
    </xf>
    <xf numFmtId="0" fontId="74" fillId="0" borderId="17" applyNumberFormat="0" applyAlignment="0" applyProtection="0">
      <alignment horizontal="left" vertical="center"/>
    </xf>
    <xf numFmtId="0" fontId="43" fillId="46" borderId="0" applyNumberFormat="0" applyBorder="0" applyAlignment="0" applyProtection="0">
      <alignment vertical="center"/>
    </xf>
    <xf numFmtId="182" fontId="57" fillId="0" borderId="0" applyFont="0" applyFill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75" fillId="0" borderId="0">
      <alignment vertical="center"/>
    </xf>
    <xf numFmtId="0" fontId="76" fillId="46" borderId="13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7" fillId="0" borderId="14" applyNumberFormat="0" applyFill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9" fillId="0" borderId="0"/>
    <xf numFmtId="0" fontId="49" fillId="45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183" fontId="51" fillId="0" borderId="0" applyFill="0" applyBorder="0" applyAlignment="0">
      <alignment vertical="center"/>
    </xf>
    <xf numFmtId="0" fontId="49" fillId="5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65" fillId="56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4" fontId="51" fillId="0" borderId="0" applyFill="0" applyBorder="0" applyAlignment="0">
      <alignment vertical="center"/>
    </xf>
    <xf numFmtId="0" fontId="0" fillId="0" borderId="0"/>
    <xf numFmtId="37" fontId="80" fillId="0" borderId="0">
      <alignment vertical="center"/>
    </xf>
    <xf numFmtId="0" fontId="44" fillId="56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185" fontId="81" fillId="0" borderId="0">
      <alignment vertical="center"/>
    </xf>
    <xf numFmtId="0" fontId="49" fillId="48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65" fillId="59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186" fontId="85" fillId="0" borderId="0">
      <alignment vertical="center"/>
    </xf>
    <xf numFmtId="0" fontId="40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14" fontId="42" fillId="0" borderId="0">
      <alignment horizontal="center" vertical="center" wrapText="1"/>
      <protection locked="0"/>
    </xf>
    <xf numFmtId="182" fontId="51" fillId="0" borderId="0" applyFill="0" applyBorder="0" applyAlignment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86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8" fillId="0" borderId="18" applyNumberFormat="0" applyFill="0" applyAlignment="0" applyProtection="0">
      <alignment vertical="center"/>
    </xf>
    <xf numFmtId="0" fontId="89" fillId="0" borderId="18" applyNumberFormat="0" applyFill="0" applyAlignment="0" applyProtection="0">
      <alignment vertical="center"/>
    </xf>
    <xf numFmtId="0" fontId="90" fillId="0" borderId="18" applyNumberFormat="0" applyFill="0" applyAlignment="0" applyProtection="0">
      <alignment vertical="center"/>
    </xf>
    <xf numFmtId="187" fontId="57" fillId="0" borderId="0" applyFont="0" applyFill="0" applyBorder="0" applyAlignment="0" applyProtection="0">
      <alignment vertical="center"/>
    </xf>
    <xf numFmtId="0" fontId="91" fillId="0" borderId="0"/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Alignment="0">
      <alignment horizontal="left"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176" fontId="54" fillId="0" borderId="0">
      <alignment vertical="center"/>
    </xf>
    <xf numFmtId="24" fontId="51" fillId="6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horizontal="left"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49" fillId="0" borderId="0" applyFill="0" applyProtection="0"/>
    <xf numFmtId="0" fontId="101" fillId="0" borderId="0" applyNumberFormat="0" applyFill="0" applyBorder="0" applyAlignment="0">
      <alignment horizontal="center" vertical="center"/>
    </xf>
    <xf numFmtId="0" fontId="102" fillId="0" borderId="0">
      <alignment horizontal="left" vertical="center"/>
      <protection locked="0"/>
    </xf>
    <xf numFmtId="0" fontId="103" fillId="47" borderId="0" applyNumberFormat="0" applyBorder="0" applyAlignment="0" applyProtection="0">
      <alignment vertical="center"/>
    </xf>
    <xf numFmtId="188" fontId="57" fillId="0" borderId="0" applyFont="0" applyFill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65" fillId="5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65" fillId="61" borderId="0" applyNumberFormat="0" applyBorder="0" applyAlignment="0" applyProtection="0">
      <alignment vertical="center"/>
    </xf>
    <xf numFmtId="0" fontId="40" fillId="61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189" fontId="38" fillId="0" borderId="0" applyFill="0" applyBorder="0" applyAlignment="0">
      <alignment vertical="center"/>
    </xf>
    <xf numFmtId="0" fontId="106" fillId="0" borderId="19" applyNumberFormat="0" applyFill="0" applyAlignment="0" applyProtection="0">
      <alignment vertical="center"/>
    </xf>
    <xf numFmtId="188" fontId="51" fillId="0" borderId="0" applyFill="0" applyBorder="0" applyAlignment="0">
      <alignment vertical="center"/>
    </xf>
    <xf numFmtId="190" fontId="51" fillId="0" borderId="0" applyFill="0" applyBorder="0" applyAlignment="0">
      <alignment vertical="center"/>
    </xf>
    <xf numFmtId="191" fontId="51" fillId="0" borderId="0" applyFill="0" applyBorder="0" applyAlignment="0">
      <alignment vertical="center"/>
    </xf>
    <xf numFmtId="0" fontId="107" fillId="42" borderId="11" applyNumberFormat="0" applyAlignment="0" applyProtection="0">
      <alignment vertical="center"/>
    </xf>
    <xf numFmtId="0" fontId="108" fillId="42" borderId="11" applyNumberFormat="0" applyAlignment="0" applyProtection="0">
      <alignment vertical="center"/>
    </xf>
    <xf numFmtId="0" fontId="108" fillId="46" borderId="11" applyNumberFormat="0" applyAlignment="0" applyProtection="0">
      <alignment vertical="center"/>
    </xf>
    <xf numFmtId="0" fontId="107" fillId="46" borderId="11" applyNumberFormat="0" applyAlignment="0" applyProtection="0">
      <alignment vertical="center"/>
    </xf>
    <xf numFmtId="176" fontId="109" fillId="0" borderId="0">
      <alignment vertical="center"/>
    </xf>
    <xf numFmtId="0" fontId="110" fillId="62" borderId="15" applyNumberFormat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2" fillId="62" borderId="15" applyNumberFormat="0" applyAlignment="0" applyProtection="0">
      <alignment vertical="center"/>
    </xf>
    <xf numFmtId="0" fontId="112" fillId="54" borderId="15" applyNumberFormat="0" applyAlignment="0" applyProtection="0">
      <alignment vertical="center"/>
    </xf>
    <xf numFmtId="0" fontId="110" fillId="54" borderId="15" applyNumberFormat="0" applyAlignment="0" applyProtection="0">
      <alignment vertical="center"/>
    </xf>
    <xf numFmtId="192" fontId="57" fillId="0" borderId="0" applyFont="0" applyFill="0" applyBorder="0" applyAlignment="0" applyProtection="0">
      <alignment vertical="center"/>
    </xf>
    <xf numFmtId="0" fontId="113" fillId="0" borderId="0">
      <alignment vertical="center"/>
    </xf>
    <xf numFmtId="193" fontId="57" fillId="0" borderId="0" applyFont="0" applyFill="0" applyBorder="0" applyAlignment="0" applyProtection="0">
      <alignment vertical="center"/>
    </xf>
    <xf numFmtId="184" fontId="57" fillId="0" borderId="0" applyFont="0" applyFill="0" applyBorder="0" applyAlignment="0" applyProtection="0">
      <alignment vertical="center"/>
    </xf>
    <xf numFmtId="194" fontId="38" fillId="0" borderId="0">
      <alignment vertical="center"/>
    </xf>
    <xf numFmtId="195" fontId="57" fillId="0" borderId="0" applyFont="0" applyFill="0" applyBorder="0" applyAlignment="0" applyProtection="0">
      <alignment vertical="center"/>
    </xf>
    <xf numFmtId="0" fontId="114" fillId="0" borderId="0" applyNumberFormat="0" applyAlignment="0">
      <alignment vertical="center"/>
    </xf>
    <xf numFmtId="196" fontId="57" fillId="0" borderId="0" applyFont="0" applyFill="0" applyBorder="0" applyAlignment="0" applyProtection="0">
      <alignment vertical="center"/>
    </xf>
    <xf numFmtId="197" fontId="38" fillId="0" borderId="0">
      <alignment vertical="center"/>
    </xf>
    <xf numFmtId="198" fontId="57" fillId="0" borderId="0" applyFont="0" applyFill="0" applyBorder="0" applyAlignment="0" applyProtection="0">
      <alignment vertical="center"/>
    </xf>
    <xf numFmtId="4" fontId="57" fillId="0" borderId="0" applyFont="0" applyFill="0" applyBorder="0" applyAlignment="0" applyProtection="0">
      <alignment vertical="center"/>
    </xf>
    <xf numFmtId="199" fontId="38" fillId="0" borderId="0">
      <alignment vertical="center"/>
    </xf>
    <xf numFmtId="0" fontId="115" fillId="0" borderId="0" applyNumberFormat="0" applyAlignment="0">
      <alignment horizontal="left"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74" fillId="0" borderId="20">
      <alignment horizontal="left" vertical="center"/>
    </xf>
    <xf numFmtId="0" fontId="119" fillId="0" borderId="21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21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124" fillId="53" borderId="0" applyNumberFormat="0" applyBorder="0" applyAlignment="0" applyProtection="0">
      <alignment vertical="center"/>
    </xf>
    <xf numFmtId="0" fontId="125" fillId="0" borderId="22" applyNumberFormat="0" applyFill="0" applyAlignment="0" applyProtection="0">
      <alignment vertical="center"/>
    </xf>
    <xf numFmtId="0" fontId="126" fillId="0" borderId="14" applyNumberFormat="0" applyFill="0" applyAlignment="0" applyProtection="0">
      <alignment vertical="center"/>
    </xf>
    <xf numFmtId="0" fontId="127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1" fillId="0" borderId="23">
      <alignment horizontal="center" vertical="center"/>
    </xf>
    <xf numFmtId="0" fontId="128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78" fillId="57" borderId="1" applyNumberFormat="0" applyBorder="0" applyAlignment="0" applyProtection="0">
      <alignment vertical="center"/>
    </xf>
    <xf numFmtId="0" fontId="130" fillId="43" borderId="11" applyNumberFormat="0" applyAlignment="0" applyProtection="0">
      <alignment vertical="center"/>
    </xf>
    <xf numFmtId="0" fontId="131" fillId="43" borderId="11" applyNumberFormat="0" applyAlignment="0" applyProtection="0">
      <alignment vertical="center"/>
    </xf>
    <xf numFmtId="0" fontId="132" fillId="43" borderId="11" applyNumberFormat="0" applyAlignment="0" applyProtection="0">
      <alignment vertical="center"/>
    </xf>
    <xf numFmtId="0" fontId="133" fillId="43" borderId="11" applyNumberFormat="0" applyAlignment="0" applyProtection="0">
      <alignment vertical="center"/>
    </xf>
    <xf numFmtId="0" fontId="134" fillId="0" borderId="12" applyNumberFormat="0" applyFill="0" applyAlignment="0" applyProtection="0">
      <alignment vertical="center"/>
    </xf>
    <xf numFmtId="0" fontId="135" fillId="0" borderId="12" applyNumberFormat="0" applyFill="0" applyAlignment="0" applyProtection="0">
      <alignment vertical="center"/>
    </xf>
    <xf numFmtId="24" fontId="51" fillId="63" borderId="0">
      <alignment vertical="center"/>
    </xf>
    <xf numFmtId="200" fontId="57" fillId="0" borderId="0" applyFont="0" applyFill="0" applyBorder="0" applyAlignment="0" applyProtection="0">
      <alignment vertical="center"/>
    </xf>
    <xf numFmtId="201" fontId="57" fillId="0" borderId="0" applyFont="0" applyFill="0" applyBorder="0" applyAlignment="0" applyProtection="0">
      <alignment vertical="center"/>
    </xf>
    <xf numFmtId="202" fontId="57" fillId="0" borderId="0" applyFont="0" applyFill="0" applyBorder="0" applyAlignment="0" applyProtection="0">
      <alignment vertical="center"/>
    </xf>
    <xf numFmtId="40" fontId="100" fillId="0" borderId="0">
      <alignment vertical="center"/>
    </xf>
    <xf numFmtId="49" fontId="73" fillId="48" borderId="1">
      <alignment horizontal="center" vertical="center" wrapText="1"/>
    </xf>
    <xf numFmtId="0" fontId="136" fillId="0" borderId="23">
      <alignment horizontal="center" vertical="center"/>
    </xf>
    <xf numFmtId="49" fontId="137" fillId="0" borderId="0">
      <alignment horizontal="left" vertical="center"/>
    </xf>
    <xf numFmtId="0" fontId="57" fillId="0" borderId="0" applyNumberFormat="0" applyFont="0" applyFill="0" applyBorder="0" applyAlignment="0" applyProtection="0">
      <alignment horizontal="left" vertical="center"/>
    </xf>
    <xf numFmtId="203" fontId="5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109" fillId="0" borderId="0">
      <alignment vertical="center"/>
    </xf>
    <xf numFmtId="204" fontId="51" fillId="0" borderId="0" applyFill="0" applyBorder="0" applyAlignment="0">
      <alignment vertical="center"/>
    </xf>
    <xf numFmtId="0" fontId="138" fillId="0" borderId="24" applyNumberFormat="0" applyFill="0" applyAlignment="0" applyProtection="0">
      <alignment vertical="center"/>
    </xf>
    <xf numFmtId="205" fontId="57" fillId="0" borderId="0" applyFont="0" applyFill="0" applyBorder="0" applyAlignment="0" applyProtection="0">
      <alignment vertical="center"/>
    </xf>
    <xf numFmtId="0" fontId="46" fillId="0" borderId="0" applyFill="0" applyProtection="0"/>
    <xf numFmtId="0" fontId="139" fillId="0" borderId="0"/>
    <xf numFmtId="0" fontId="140" fillId="47" borderId="0" applyNumberFormat="0" applyBorder="0" applyAlignment="0" applyProtection="0">
      <alignment vertical="center"/>
    </xf>
    <xf numFmtId="1" fontId="70" fillId="0" borderId="1">
      <alignment horizontal="center" vertical="center"/>
    </xf>
    <xf numFmtId="0" fontId="141" fillId="42" borderId="13" applyNumberFormat="0" applyAlignment="0" applyProtection="0">
      <alignment vertical="center"/>
    </xf>
    <xf numFmtId="0" fontId="141" fillId="46" borderId="13" applyNumberFormat="0" applyAlignment="0" applyProtection="0">
      <alignment vertical="center"/>
    </xf>
    <xf numFmtId="0" fontId="61" fillId="46" borderId="13" applyNumberFormat="0" applyAlignment="0" applyProtection="0">
      <alignment vertical="center"/>
    </xf>
    <xf numFmtId="183" fontId="57" fillId="0" borderId="0" applyFont="0" applyFill="0" applyBorder="0" applyAlignment="0" applyProtection="0">
      <alignment vertical="center"/>
    </xf>
    <xf numFmtId="206" fontId="57" fillId="0" borderId="0" applyFont="0" applyFill="0" applyBorder="0" applyAlignment="0" applyProtection="0">
      <alignment vertical="center"/>
    </xf>
    <xf numFmtId="10" fontId="57" fillId="0" borderId="0" applyFont="0" applyFill="0" applyBorder="0" applyAlignment="0" applyProtection="0">
      <alignment vertical="center"/>
    </xf>
    <xf numFmtId="0" fontId="57" fillId="64" borderId="0" applyNumberFormat="0" applyFont="0" applyBorder="0" applyAlignment="0">
      <alignment horizontal="center" vertical="center"/>
    </xf>
    <xf numFmtId="0" fontId="57" fillId="65" borderId="20" applyNumberFormat="0" applyFont="0" applyAlignment="0">
      <alignment horizontal="center" vertical="center"/>
    </xf>
    <xf numFmtId="0" fontId="49" fillId="0" borderId="0"/>
    <xf numFmtId="49" fontId="70" fillId="0" borderId="0">
      <alignment horizontal="left" vertical="center"/>
    </xf>
    <xf numFmtId="207" fontId="38" fillId="0" borderId="1">
      <alignment horizontal="center" vertical="center"/>
    </xf>
    <xf numFmtId="40" fontId="142" fillId="0" borderId="0" applyBorder="0">
      <alignment horizontal="right" vertical="center"/>
    </xf>
    <xf numFmtId="2" fontId="80" fillId="0" borderId="1">
      <alignment vertical="top"/>
      <protection locked="0"/>
    </xf>
    <xf numFmtId="49" fontId="46" fillId="0" borderId="0" applyFill="0" applyBorder="0" applyAlignment="0">
      <alignment vertical="center"/>
    </xf>
    <xf numFmtId="208" fontId="51" fillId="0" borderId="0" applyFill="0" applyBorder="0" applyAlignment="0">
      <alignment vertical="center"/>
    </xf>
    <xf numFmtId="0" fontId="143" fillId="0" borderId="25" applyNumberFormat="0" applyFill="0" applyAlignment="0" applyProtection="0">
      <alignment vertical="center"/>
    </xf>
    <xf numFmtId="0" fontId="144" fillId="0" borderId="25" applyNumberFormat="0" applyFill="0" applyAlignment="0" applyProtection="0">
      <alignment vertical="center"/>
    </xf>
    <xf numFmtId="0" fontId="144" fillId="0" borderId="24" applyNumberFormat="0" applyFill="0" applyAlignment="0" applyProtection="0">
      <alignment vertical="center"/>
    </xf>
    <xf numFmtId="0" fontId="143" fillId="0" borderId="24" applyNumberFormat="0" applyFill="0" applyAlignment="0" applyProtection="0">
      <alignment vertical="center"/>
    </xf>
    <xf numFmtId="9" fontId="145" fillId="0" borderId="0" applyFont="0" applyFill="0" applyBorder="0" applyAlignment="0" applyProtection="0"/>
    <xf numFmtId="0" fontId="57" fillId="0" borderId="0">
      <alignment vertical="center"/>
    </xf>
    <xf numFmtId="0" fontId="146" fillId="0" borderId="0">
      <alignment vertical="center"/>
    </xf>
    <xf numFmtId="209" fontId="57" fillId="0" borderId="0" applyFont="0" applyFill="0" applyBorder="0" applyAlignment="0" applyProtection="0">
      <alignment vertical="center"/>
    </xf>
    <xf numFmtId="210" fontId="57" fillId="0" borderId="0" applyFont="0" applyFill="0" applyBorder="0" applyAlignment="0" applyProtection="0">
      <alignment vertical="center"/>
    </xf>
    <xf numFmtId="0" fontId="147" fillId="0" borderId="0">
      <alignment vertical="center"/>
    </xf>
    <xf numFmtId="211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148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212" fontId="1" fillId="0" borderId="1" xfId="0" applyNumberFormat="1" applyFont="1" applyFill="1" applyBorder="1" applyAlignment="1">
      <alignment horizontal="left" vertical="center"/>
    </xf>
    <xf numFmtId="213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 wrapText="1" readingOrder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214" fontId="9" fillId="0" borderId="0" xfId="0" applyNumberFormat="1" applyFont="1" applyFill="1" applyBorder="1" applyAlignment="1">
      <alignment horizontal="center" vertical="center"/>
    </xf>
    <xf numFmtId="214" fontId="10" fillId="0" borderId="0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214" fontId="15" fillId="0" borderId="0" xfId="0" applyNumberFormat="1" applyFont="1" applyFill="1" applyBorder="1" applyAlignment="1">
      <alignment horizontal="center" vertical="center"/>
    </xf>
    <xf numFmtId="215" fontId="15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</cellXfs>
  <cellStyles count="3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5 8" xfId="49"/>
    <cellStyle name="_DHL特价D1" xfId="50"/>
    <cellStyle name="Normal 4 5 6" xfId="51"/>
    <cellStyle name="20% - Accent2 2 6" xfId="52"/>
    <cellStyle name="Normal 96" xfId="53"/>
    <cellStyle name="Title 2 4" xfId="54"/>
    <cellStyle name="60% - Accent2 4" xfId="55"/>
    <cellStyle name="9 14 6" xfId="56"/>
    <cellStyle name="常规 2 2 2 2 2 2 2 2 2 2 2 2 3 5" xfId="57"/>
    <cellStyle name="㼿㼿㼿㼿㼿㼿㼿 7" xfId="58"/>
    <cellStyle name="常规 2 5 2 4 3" xfId="59"/>
    <cellStyle name="40% - Accent2 2 4" xfId="60"/>
    <cellStyle name="常规 2 13 4 2" xfId="61"/>
    <cellStyle name="args.style" xfId="62"/>
    <cellStyle name="_ET_STYLE_NoName_00_ 9" xfId="63"/>
    <cellStyle name="20% - 輔色4" xfId="64"/>
    <cellStyle name="40% - 輔色2" xfId="65"/>
    <cellStyle name="Accent4 2 4" xfId="66"/>
    <cellStyle name="超链接 13 8" xfId="67"/>
    <cellStyle name="_Sheet1_DHL.HK.SX(2009.06给世必达）" xfId="68"/>
    <cellStyle name="_12月2号6点起生效报价" xfId="69"/>
    <cellStyle name="40% - Accent5 2 5" xfId="70"/>
    <cellStyle name="_Book2" xfId="71"/>
    <cellStyle name="样式 1 5" xfId="72"/>
    <cellStyle name="40% - Accent5 7" xfId="73"/>
    <cellStyle name="20% - Accent4 4" xfId="74"/>
    <cellStyle name="Input 21" xfId="75"/>
    <cellStyle name="20% - Accent5 2 6" xfId="76"/>
    <cellStyle name="常规 137" xfId="77"/>
    <cellStyle name="20% - Accent6 2 2 7" xfId="78"/>
    <cellStyle name="常规 136 2 7" xfId="79"/>
    <cellStyle name="_ET_STYLE_NoName_00__大陆DHL促销价4-16" xfId="80"/>
    <cellStyle name="20% - Accent1 2 9" xfId="81"/>
    <cellStyle name="_ET_STYLE_NoName_00_ 2 2 2" xfId="82"/>
    <cellStyle name="40% - Accent1 4" xfId="83"/>
    <cellStyle name="好_邮政小包发票样板 5" xfId="84"/>
    <cellStyle name="Comma 2 2 4 2" xfId="85"/>
    <cellStyle name="40% - Accent6 2 3" xfId="86"/>
    <cellStyle name="常规 6 2 3 8" xfId="87"/>
    <cellStyle name="60% - Accent2 2 5" xfId="88"/>
    <cellStyle name="20% - Accent3 2 2 5" xfId="89"/>
    <cellStyle name="Normal 200" xfId="90"/>
    <cellStyle name="Normal 17_fedex2013 new（4月18日）" xfId="91"/>
    <cellStyle name="差_Sheet3 6" xfId="92"/>
    <cellStyle name="20% - 輔色2" xfId="93"/>
    <cellStyle name="20% - 輔色3" xfId="94"/>
    <cellStyle name="_DHL.HK.OU及DHL.HK.OU特价(20090215)华南" xfId="95"/>
    <cellStyle name="20% - 輔色5" xfId="96"/>
    <cellStyle name="20% - 輔色6" xfId="97"/>
    <cellStyle name="常规 2 2 2 9" xfId="98"/>
    <cellStyle name="Œ…‹æØ‚è_laroux" xfId="99"/>
    <cellStyle name="_香港DHL与大陆DHL的价格比较表" xfId="100"/>
    <cellStyle name="Percent_#6 Temps &amp; Contractors" xfId="101"/>
    <cellStyle name="W鋒rung [0]_Mappe2" xfId="102"/>
    <cellStyle name="20% - Accent1 6" xfId="103"/>
    <cellStyle name="40% - Accent3 2" xfId="104"/>
    <cellStyle name="Calculation 2 4" xfId="105"/>
    <cellStyle name="stlHdrTitle" xfId="106"/>
    <cellStyle name="20% - Accent2 5" xfId="107"/>
    <cellStyle name="Standard 2 2 8" xfId="108"/>
    <cellStyle name="Linked Cell 2" xfId="109"/>
    <cellStyle name="Output 3" xfId="110"/>
    <cellStyle name="超链接 4 3 5" xfId="111"/>
    <cellStyle name="60% - Accent6 2 2" xfId="112"/>
    <cellStyle name="Warning Text 6" xfId="113"/>
    <cellStyle name="常规 10 3 5" xfId="114"/>
    <cellStyle name="Normal_!!!GO" xfId="115"/>
    <cellStyle name="Comma  - Style2" xfId="116"/>
    <cellStyle name="Milliers_!!!GO" xfId="117"/>
    <cellStyle name="Accent2 6" xfId="118"/>
    <cellStyle name="60% - Accent1 2 3" xfId="119"/>
    <cellStyle name="Date Short" xfId="120"/>
    <cellStyle name="40% - Accent6 4" xfId="121"/>
    <cellStyle name="Percent 3 2" xfId="122"/>
    <cellStyle name="Neutral 4" xfId="123"/>
    <cellStyle name="Heading 3 2 6" xfId="124"/>
    <cellStyle name="Neutral 5" xfId="125"/>
    <cellStyle name="㼿㼿?" xfId="126"/>
    <cellStyle name="stlWgtIntl" xfId="127"/>
    <cellStyle name="常规 111_12.DHL-HKG" xfId="128"/>
    <cellStyle name="HEADINGSTOP" xfId="129"/>
    <cellStyle name="Accent3 2 7" xfId="130"/>
    <cellStyle name="20% - Accent4 5" xfId="131"/>
    <cellStyle name="Heading 4 3" xfId="132"/>
    <cellStyle name="W鋒rung_AUFFOR95" xfId="133"/>
    <cellStyle name="60% - 輔色3" xfId="134"/>
    <cellStyle name="Accent5 4" xfId="135"/>
    <cellStyle name="Note 2" xfId="136"/>
    <cellStyle name="20% - 輔色1" xfId="137"/>
    <cellStyle name="60% - Accent6 7" xfId="138"/>
    <cellStyle name="stlHeaderCol" xfId="139"/>
    <cellStyle name="Header1" xfId="140"/>
    <cellStyle name="40% - Accent1 3" xfId="141"/>
    <cellStyle name="Currency [00]" xfId="142"/>
    <cellStyle name="40% - Accent3 8" xfId="143"/>
    <cellStyle name="常规 21 6" xfId="144"/>
    <cellStyle name="Output 2 2" xfId="145"/>
    <cellStyle name="Heading 4 2 6" xfId="146"/>
    <cellStyle name="標題 3" xfId="147"/>
    <cellStyle name="20% - Accent3 3" xfId="148"/>
    <cellStyle name="Grey" xfId="149"/>
    <cellStyle name="0,0_x005f_x000a__x005f_x000a_NA_x005f_x000a__x005f_x000a_" xfId="150"/>
    <cellStyle name="20% - Accent1 5" xfId="151"/>
    <cellStyle name="40% - Accent3 4" xfId="152"/>
    <cellStyle name="60% - Accent2 3" xfId="153"/>
    <cellStyle name="Calc Percent (2)" xfId="154"/>
    <cellStyle name="20% - Accent3 4" xfId="155"/>
    <cellStyle name="20% - Accent3 5" xfId="156"/>
    <cellStyle name="40% - Accent5 4" xfId="157"/>
    <cellStyle name="60% - Accent1 6" xfId="158"/>
    <cellStyle name="60% - Accent1 7" xfId="159"/>
    <cellStyle name="60% - 輔色4" xfId="160"/>
    <cellStyle name="㼿㼿㼿㼿 10" xfId="161"/>
    <cellStyle name="20% - Accent5 4" xfId="162"/>
    <cellStyle name="PrePop Currency (0)" xfId="163"/>
    <cellStyle name="常规 128" xfId="164"/>
    <cellStyle name="no dec" xfId="165"/>
    <cellStyle name="Accent5 2 8" xfId="166"/>
    <cellStyle name="60% - Accent3 2 8" xfId="167"/>
    <cellStyle name="40% - 輔色6" xfId="168"/>
    <cellStyle name="40% - Accent2 4" xfId="169"/>
    <cellStyle name="40% - Accent3 5" xfId="170"/>
    <cellStyle name="40% - Accent3 7" xfId="171"/>
    <cellStyle name="Normal - Style1" xfId="172"/>
    <cellStyle name="40% - Accent6 5" xfId="173"/>
    <cellStyle name="差_正品道-VIP-P-P价格表(7月) 2" xfId="174"/>
    <cellStyle name="60% - Accent6 3" xfId="175"/>
    <cellStyle name="60% - Accent6 4" xfId="176"/>
    <cellStyle name="Explanatory Text" xfId="177"/>
    <cellStyle name="60% - Accent6 5" xfId="178"/>
    <cellStyle name="輔色6" xfId="179"/>
    <cellStyle name="超链接 10 3" xfId="180"/>
    <cellStyle name="pricing" xfId="181"/>
    <cellStyle name="60% - Accent1 5" xfId="182"/>
    <cellStyle name="60% - Accent3" xfId="183"/>
    <cellStyle name="60% - Accent3 4" xfId="184"/>
    <cellStyle name="60% - Accent3 5" xfId="185"/>
    <cellStyle name="60% - Accent4" xfId="186"/>
    <cellStyle name="per.style" xfId="187"/>
    <cellStyle name="Enter Units (2)" xfId="188"/>
    <cellStyle name="60% - Accent4 4" xfId="189"/>
    <cellStyle name="60% - Accent4 5" xfId="190"/>
    <cellStyle name="Heading 2 2" xfId="191"/>
    <cellStyle name="Heading 2 3" xfId="192"/>
    <cellStyle name="Heading 2 4" xfId="193"/>
    <cellStyle name="Heading 2 5" xfId="194"/>
    <cellStyle name="Heading 2 7" xfId="195"/>
    <cellStyle name="㼿㼿㼿㼿㼿㼿㼿㼿㼿㼿㼿㼿㼿㼿㼿" xfId="196"/>
    <cellStyle name="常规 37 5" xfId="197"/>
    <cellStyle name="標題" xfId="198"/>
    <cellStyle name="Copied" xfId="199"/>
    <cellStyle name="Warning Text 2" xfId="200"/>
    <cellStyle name="Warning Text 4" xfId="201"/>
    <cellStyle name="標準_0824_2012_MinChg_Audited_non638" xfId="202"/>
    <cellStyle name="Input Cells" xfId="203"/>
    <cellStyle name="Title 3" xfId="204"/>
    <cellStyle name="Title 4" xfId="205"/>
    <cellStyle name="Title 5" xfId="206"/>
    <cellStyle name="好_正品道-VIP-P-P价格表(7月)" xfId="207"/>
    <cellStyle name="RevList" xfId="208"/>
    <cellStyle name="超链接 6 2" xfId="209"/>
    <cellStyle name="常规 3 2 2 5 2" xfId="210"/>
    <cellStyle name="specstores" xfId="211"/>
    <cellStyle name="stlEndLink" xfId="212"/>
    <cellStyle name="Good 6" xfId="213"/>
    <cellStyle name="Currency [0]_!!!GO" xfId="214"/>
    <cellStyle name="Accent1 5" xfId="215"/>
    <cellStyle name="Accent1 7" xfId="216"/>
    <cellStyle name="Accent2 2" xfId="217"/>
    <cellStyle name="Accent2 4" xfId="218"/>
    <cellStyle name="Accent3" xfId="219"/>
    <cellStyle name="Accent3 4" xfId="220"/>
    <cellStyle name="Accent4" xfId="221"/>
    <cellStyle name="Accent4 4" xfId="222"/>
    <cellStyle name="Accent6 2" xfId="223"/>
    <cellStyle name="Accent6 4" xfId="224"/>
    <cellStyle name="Bad" xfId="225"/>
    <cellStyle name="Bad 4" xfId="226"/>
    <cellStyle name="Calc Currency (0)" xfId="227"/>
    <cellStyle name="Heading 1 2 6" xfId="228"/>
    <cellStyle name="Calc Percent (0)" xfId="229"/>
    <cellStyle name="Calc Percent (1)" xfId="230"/>
    <cellStyle name="Calc Units (1)" xfId="231"/>
    <cellStyle name="Calculation" xfId="232"/>
    <cellStyle name="Calculation 4" xfId="233"/>
    <cellStyle name="Calculation 5" xfId="234"/>
    <cellStyle name="Calculation 7" xfId="235"/>
    <cellStyle name="Normal 26 2" xfId="236"/>
    <cellStyle name="Check Cell" xfId="237"/>
    <cellStyle name="差_City-link_同行价SZT 2" xfId="238"/>
    <cellStyle name="Check Cell 4" xfId="239"/>
    <cellStyle name="Check Cell 5" xfId="240"/>
    <cellStyle name="Check Cell 7" xfId="241"/>
    <cellStyle name="Comma [0] 2" xfId="242"/>
    <cellStyle name="Normal 2 2 6" xfId="243"/>
    <cellStyle name="Comma [0]_!!!GO" xfId="244"/>
    <cellStyle name="Comma [00]" xfId="245"/>
    <cellStyle name="comma zerodec" xfId="246"/>
    <cellStyle name="Comma_!!!GO" xfId="247"/>
    <cellStyle name="COST1" xfId="248"/>
    <cellStyle name="Currency_!!!GO" xfId="249"/>
    <cellStyle name="Currency1" xfId="250"/>
    <cellStyle name="Dezimal [0]_Mappe2" xfId="251"/>
    <cellStyle name="Dezimal_AUFFOR95" xfId="252"/>
    <cellStyle name="Dollar (zero dec)" xfId="253"/>
    <cellStyle name="Entered" xfId="254"/>
    <cellStyle name="Explanatory Text 2" xfId="255"/>
    <cellStyle name="Explanatory Text 4" xfId="256"/>
    <cellStyle name="Good 4" xfId="257"/>
    <cellStyle name="Header2" xfId="258"/>
    <cellStyle name="Heading 1" xfId="259"/>
    <cellStyle name="超链接 5 4" xfId="260"/>
    <cellStyle name="Heading 1 4" xfId="261"/>
    <cellStyle name="Heading 1 5" xfId="262"/>
    <cellStyle name="Heading 1 7" xfId="263"/>
    <cellStyle name="Heading 3" xfId="264"/>
    <cellStyle name="Neutral 2" xfId="265"/>
    <cellStyle name="Heading 3 4" xfId="266"/>
    <cellStyle name="Heading 3 5" xfId="267"/>
    <cellStyle name="一般 34 8" xfId="268"/>
    <cellStyle name="Heading 4 4" xfId="269"/>
    <cellStyle name="Heading 4 5" xfId="270"/>
    <cellStyle name="Heading 4 7" xfId="271"/>
    <cellStyle name="HEADINGS" xfId="272"/>
    <cellStyle name="Hyperlink 2" xfId="273"/>
    <cellStyle name="Hyperlink_PERSONAL" xfId="274"/>
    <cellStyle name="Input [yellow]" xfId="275"/>
    <cellStyle name="Input 2" xfId="276"/>
    <cellStyle name="Input 34" xfId="277"/>
    <cellStyle name="Input 4" xfId="278"/>
    <cellStyle name="Input 5" xfId="279"/>
    <cellStyle name="Linked Cell" xfId="280"/>
    <cellStyle name="Linked Cell 4" xfId="281"/>
    <cellStyle name="Linked Cells" xfId="282"/>
    <cellStyle name="Milliers [0]_!!!GO" xfId="283"/>
    <cellStyle name="Monétaire [0]_!!!GO" xfId="284"/>
    <cellStyle name="Monétaire_!!!GO" xfId="285"/>
    <cellStyle name="Money" xfId="286"/>
    <cellStyle name="stlHeader" xfId="287"/>
    <cellStyle name="PSHeading" xfId="288"/>
    <cellStyle name="stlRateSize" xfId="289"/>
    <cellStyle name="PSChar" xfId="290"/>
    <cellStyle name="貨幣_2000 Rate Table" xfId="291"/>
    <cellStyle name="Normal 25 4" xfId="292"/>
    <cellStyle name="Normal 26 3" xfId="293"/>
    <cellStyle name="Text Indent C" xfId="294"/>
    <cellStyle name="Total 2 2" xfId="295"/>
    <cellStyle name="千分位[0]_2000 Rate Table" xfId="296"/>
    <cellStyle name="Standard 4" xfId="297"/>
    <cellStyle name="常规 2 14 2" xfId="298"/>
    <cellStyle name="好_City-link_同行价SZT" xfId="299"/>
    <cellStyle name="stlWgtDom" xfId="300"/>
    <cellStyle name="Output 4" xfId="301"/>
    <cellStyle name="Output 5" xfId="302"/>
    <cellStyle name="Output 7" xfId="303"/>
    <cellStyle name="Percent [0]" xfId="304"/>
    <cellStyle name="Percent [00]" xfId="305"/>
    <cellStyle name="Percent [2]" xfId="306"/>
    <cellStyle name="regstoresfromspecstores" xfId="307"/>
    <cellStyle name="SHADEDSTORES" xfId="308"/>
    <cellStyle name="Standard 9" xfId="309"/>
    <cellStyle name="stlEndNotes" xfId="310"/>
    <cellStyle name="stlRates" xfId="311"/>
    <cellStyle name="Subtotal" xfId="312"/>
    <cellStyle name="Super" xfId="313"/>
    <cellStyle name="Text Indent A" xfId="314"/>
    <cellStyle name="Text Indent B" xfId="315"/>
    <cellStyle name="Total" xfId="316"/>
    <cellStyle name="Total 4" xfId="317"/>
    <cellStyle name="Total 5" xfId="318"/>
    <cellStyle name="Total 7" xfId="319"/>
    <cellStyle name="百分比 2" xfId="320"/>
    <cellStyle name="常规 115" xfId="321"/>
    <cellStyle name="㼿㼿㼿㼿㼿" xfId="322"/>
    <cellStyle name="通貨_3RD-PTY IMP MATRIX" xfId="323"/>
    <cellStyle name="貨幣 [0]_2000 Rate Table" xfId="324"/>
    <cellStyle name="㽎㼿㼿㼿㼿㼿㼿㼿㼿" xfId="325"/>
    <cellStyle name="千分位_2000 Rate Table" xfId="326"/>
    <cellStyle name="千位分隔 2" xfId="327"/>
    <cellStyle name="표준_3rd region update (041217)" xfId="328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38735</xdr:colOff>
      <xdr:row>2</xdr:row>
      <xdr:rowOff>0</xdr:rowOff>
    </xdr:from>
    <xdr:to>
      <xdr:col>7</xdr:col>
      <xdr:colOff>0</xdr:colOff>
      <xdr:row>2</xdr:row>
      <xdr:rowOff>9525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6450" y="838200"/>
          <a:ext cx="84645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8"/>
  <sheetViews>
    <sheetView showGridLines="0" tabSelected="1" topLeftCell="E1" workbookViewId="0">
      <selection activeCell="K7" sqref="K7"/>
    </sheetView>
  </sheetViews>
  <sheetFormatPr defaultColWidth="9" defaultRowHeight="13.85"/>
  <cols>
    <col min="1" max="1" width="10.1681415929204" customWidth="1"/>
    <col min="2" max="2" width="20.0530973451327" customWidth="1"/>
    <col min="3" max="3" width="19.2566371681416" customWidth="1"/>
    <col min="4" max="4" width="33.8141592920354" customWidth="1"/>
    <col min="5" max="5" width="12.4955752212389" customWidth="1"/>
    <col min="6" max="6" width="21.1061946902655" customWidth="1"/>
    <col min="7" max="7" width="12.3362831858407" customWidth="1"/>
    <col min="8" max="10" width="32.9380530973451" customWidth="1"/>
    <col min="11" max="11" width="11.6106194690265" customWidth="1"/>
    <col min="12" max="12" width="27.787610619469" customWidth="1"/>
    <col min="13" max="13" width="27.0619469026549" customWidth="1"/>
    <col min="14" max="14" width="56.9115044247788" customWidth="1"/>
    <col min="15" max="15" width="22.0530973451327" customWidth="1"/>
    <col min="16" max="16" width="14.9911504424779" customWidth="1"/>
    <col min="17" max="17" width="23.5221238938053" customWidth="1"/>
    <col min="18" max="18" width="21.9115044247788" customWidth="1"/>
    <col min="19" max="19" width="31.6194690265487" customWidth="1"/>
    <col min="20" max="20" width="27.4955752212389" customWidth="1"/>
    <col min="21" max="21" width="23.8230088495575" customWidth="1"/>
    <col min="22" max="22" width="4.84070796460177" customWidth="1"/>
    <col min="23" max="24" width="26.4690265486726" customWidth="1"/>
    <col min="25" max="26" width="17.1238938053097" customWidth="1"/>
    <col min="27" max="27" width="5.7787610619469" customWidth="1"/>
    <col min="28" max="28" width="14.8053097345133" customWidth="1"/>
    <col min="29" max="29" width="32.0619469026549" customWidth="1"/>
    <col min="30" max="31" width="22.2035398230088" customWidth="1"/>
    <col min="32" max="32" width="15.5929203539823" customWidth="1"/>
    <col min="33" max="33" width="18.5221238938053" customWidth="1"/>
    <col min="34" max="34" width="29.5575221238938" customWidth="1"/>
    <col min="35" max="35" width="28.8141592920354" customWidth="1"/>
    <col min="36" max="36" width="17.1238938053097" customWidth="1"/>
    <col min="37" max="37" width="21.3185840707965" customWidth="1"/>
    <col min="38" max="38" width="20.8761061946903" customWidth="1"/>
    <col min="39" max="39" width="16.9115044247788" customWidth="1"/>
    <col min="40" max="40" width="14.8053097345133" customWidth="1"/>
    <col min="41" max="46" width="9.75221238938053" customWidth="1"/>
    <col min="47" max="47" width="19.4070796460177" customWidth="1"/>
    <col min="48" max="48" width="19.2566371681416" customWidth="1"/>
    <col min="49" max="49" width="95.5132743362832" customWidth="1"/>
    <col min="50" max="50" width="36.1061946902655" customWidth="1"/>
    <col min="51" max="51" width="23.0973451327434" customWidth="1"/>
    <col min="52" max="52" width="12.4159292035398" customWidth="1"/>
    <col min="53" max="53" width="80.0442477876106" customWidth="1"/>
    <col min="54" max="54" width="14.8053097345133" customWidth="1"/>
    <col min="55" max="55" width="21.0265486725664" customWidth="1"/>
    <col min="56" max="56" width="20.7079646017699" customWidth="1"/>
  </cols>
  <sheetData>
    <row r="1" ht="33" customHeight="1" spans="1:56">
      <c r="A1" s="1"/>
      <c r="B1" s="1" t="s">
        <v>0</v>
      </c>
      <c r="C1" s="2"/>
      <c r="D1" s="2"/>
      <c r="E1" s="1" t="s">
        <v>1</v>
      </c>
      <c r="F1" s="3"/>
      <c r="H1" s="1" t="s">
        <v>2</v>
      </c>
      <c r="O1" s="4"/>
      <c r="P1" s="4"/>
      <c r="Q1" s="4"/>
      <c r="R1" s="4"/>
    </row>
    <row r="2" ht="33" customHeight="1" spans="1:56">
      <c r="A2" s="5" t="s">
        <v>3</v>
      </c>
      <c r="B2" s="5" t="s">
        <v>4</v>
      </c>
      <c r="C2" s="2" t="s">
        <v>5</v>
      </c>
      <c r="D2" s="2" t="s">
        <v>6</v>
      </c>
      <c r="E2" s="1" t="s">
        <v>7</v>
      </c>
      <c r="F2" s="3" t="s">
        <v>8</v>
      </c>
      <c r="G2" s="1" t="s">
        <v>9</v>
      </c>
      <c r="H2" s="1" t="s">
        <v>10</v>
      </c>
      <c r="I2" s="1" t="s">
        <v>11</v>
      </c>
      <c r="J2" s="6" t="s">
        <v>12</v>
      </c>
      <c r="K2" s="1" t="s">
        <v>13</v>
      </c>
      <c r="L2" s="6" t="s">
        <v>14</v>
      </c>
      <c r="M2" s="6" t="s">
        <v>15</v>
      </c>
      <c r="N2" s="6" t="s">
        <v>16</v>
      </c>
      <c r="O2" s="7" t="s">
        <v>17</v>
      </c>
      <c r="P2" s="4" t="s">
        <v>18</v>
      </c>
      <c r="Q2" s="1" t="s">
        <v>19</v>
      </c>
      <c r="R2" s="4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6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8" t="s">
        <v>36</v>
      </c>
      <c r="AI2" s="8" t="s">
        <v>37</v>
      </c>
      <c r="AJ2" s="8" t="s">
        <v>38</v>
      </c>
      <c r="AK2" s="9" t="s">
        <v>39</v>
      </c>
      <c r="AL2" s="10" t="s">
        <v>40</v>
      </c>
      <c r="AM2" s="10" t="s">
        <v>41</v>
      </c>
      <c r="AN2" s="10" t="s">
        <v>42</v>
      </c>
      <c r="AO2" s="11" t="s">
        <v>43</v>
      </c>
      <c r="AP2" s="11"/>
      <c r="AQ2" s="11"/>
      <c r="AR2" s="11"/>
      <c r="AS2" s="11"/>
      <c r="AT2" s="11"/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26</v>
      </c>
      <c r="BA2" s="1" t="s">
        <v>49</v>
      </c>
      <c r="BB2" s="1" t="s">
        <v>50</v>
      </c>
      <c r="BC2" s="12" t="s">
        <v>51</v>
      </c>
      <c r="BD2" s="1" t="s">
        <v>52</v>
      </c>
    </row>
    <row r="3" ht="33" customHeight="1" spans="1:56">
      <c r="A3" s="13" t="s">
        <v>53</v>
      </c>
      <c r="B3" s="14"/>
      <c r="C3" s="15" t="s">
        <v>54</v>
      </c>
      <c r="D3" s="15" t="s">
        <v>54</v>
      </c>
      <c r="E3" s="1">
        <v>1</v>
      </c>
      <c r="F3" s="3">
        <v>3.6</v>
      </c>
      <c r="G3" s="1" t="s">
        <v>55</v>
      </c>
      <c r="H3" s="16" t="str">
        <f t="shared" ref="H3:H66" si="0">UPPER(AX3)</f>
        <v>SHAKING TABLE WARE</v>
      </c>
      <c r="I3" s="16" t="str">
        <f t="shared" ref="I3:I66" si="1">UPPER(AY3)</f>
        <v>ABS</v>
      </c>
      <c r="J3" s="16" t="s">
        <v>56</v>
      </c>
      <c r="K3" s="17" t="str">
        <f t="shared" ref="K3:K66" si="2">UPPER(J3)</f>
        <v>堀 裕子 [ホリ ユウコ]</v>
      </c>
      <c r="L3" s="17"/>
      <c r="M3" s="18" t="str">
        <f t="shared" ref="M3:M66" si="3">AU3&amp;AV3&amp;AW3&amp;BD3</f>
        <v>東京都調布市緑ケ丘1-7-6（宅配ボックス希望）</v>
      </c>
      <c r="N3" s="19" t="str">
        <f t="shared" ref="N3:N66" si="4">UPPER(M3)</f>
        <v>東京都調布市緑ケ丘1-7-6（宅配ボックス希望）</v>
      </c>
      <c r="O3" s="20" t="str">
        <f>MID(N3,MIN(IFERROR(FIND({0,1,2,3,4,5,6,7,8,9},N3),LEN(N3)+1)),LEN(N3))</f>
        <v>1-7-6（宅配ボックス希望）</v>
      </c>
      <c r="P3" s="20" t="str">
        <f t="shared" ref="P3:P66" si="5">L3&amp;" "&amp;O3</f>
        <v> 1-7-6（宅配ボックス希望）</v>
      </c>
      <c r="Q3" s="19" t="s">
        <v>57</v>
      </c>
      <c r="R3" s="21" t="s">
        <v>58</v>
      </c>
      <c r="S3" s="22" t="s">
        <v>59</v>
      </c>
      <c r="T3" s="22" t="s">
        <v>60</v>
      </c>
      <c r="U3" s="23" t="s">
        <v>61</v>
      </c>
      <c r="V3" s="23" t="s">
        <v>62</v>
      </c>
      <c r="W3" s="24"/>
      <c r="X3" s="25">
        <f t="shared" ref="X3:X66" si="6">INT(AZ3)</f>
        <v>25</v>
      </c>
      <c r="Y3" s="23" t="s">
        <v>63</v>
      </c>
      <c r="Z3" s="23" t="s">
        <v>62</v>
      </c>
      <c r="AA3" s="23"/>
      <c r="AB3" s="23" t="s">
        <v>64</v>
      </c>
      <c r="AD3" s="19" t="s">
        <v>56</v>
      </c>
      <c r="AE3" s="1" t="str">
        <f t="shared" ref="AE3:AE66" si="7">AU3&amp;AV3&amp;AW3&amp;BD3</f>
        <v>東京都調布市緑ケ丘1-7-6（宅配ボックス希望）</v>
      </c>
      <c r="AF3" s="1" t="s">
        <v>58</v>
      </c>
      <c r="AG3" s="1" t="s">
        <v>57</v>
      </c>
      <c r="AH3" s="1" t="s">
        <v>65</v>
      </c>
      <c r="AI3" s="1" t="str">
        <f t="shared" ref="AI3:AI66" si="8">BB3&amp;BC3&amp;BA3</f>
        <v> 東京都稲城市平尾１－１４－１７</v>
      </c>
      <c r="AJ3" s="1" t="s">
        <v>66</v>
      </c>
      <c r="AK3" s="26" t="s">
        <v>67</v>
      </c>
      <c r="AL3" s="26">
        <v>1</v>
      </c>
      <c r="AM3" s="19" t="str">
        <f ca="1">IF(OR(ISNUMBER(SEARCH("amazon",AH3)),ISNUMBER(SEARCH("亚马逊",AH3))),"PUS001",IF(OR(ISNUMBER(SEARCH("rakuten",AH3)),ISNUMBER(SEARCH("楽天",AH3)),ISNUMBER(SEARCH("乐天",AH3))),"PJP001",IF(ISNUMBER(SEARCH("tik tok shop",AH3)),"PSG003",IF(ISNUMBER(SEARCH("temu",AH3)),"PSG001",IF(ISNUMBER(SEARCH("shein",AH3)),"JSG001",IF(OR(ISNUMBER(SEARCH("yahoo",AH3)),ISNUMBER(SEARCH("雅虎",AH3)),ISNUMBER(SEARCH("雅",AH3)),LEFT(UPPER(AH3),1)="Y"),"PJP005",IF(ISNUMBER(SEARCH("DDA JAPAN",AH3)),CHOOSE(RANDBETWEEN(1,3),"temu","PSG003","PSG001"),"JCNZZZ")))))))</f>
        <v>PJP001</v>
      </c>
      <c r="AN3" s="1" t="str">
        <f ca="1" t="shared" ref="AN3:AN66" si="9">IF(ISNUMBER(SEARCH("JCNZZZ",AM3)),CHOOSE(RANDBETWEEN(1,4),"TAOBAO0","JinDdong","PingDduoDduo","ALIBABA"),"")</f>
        <v/>
      </c>
      <c r="AU3" s="1" t="s">
        <v>68</v>
      </c>
      <c r="AV3" s="1" t="s">
        <v>69</v>
      </c>
      <c r="AW3" s="1" t="s">
        <v>70</v>
      </c>
      <c r="AX3" s="1" t="s">
        <v>71</v>
      </c>
      <c r="AY3" s="1" t="s">
        <v>72</v>
      </c>
      <c r="AZ3" s="1">
        <v>25.21</v>
      </c>
      <c r="BA3" s="1" t="s">
        <v>73</v>
      </c>
      <c r="BB3" s="1"/>
      <c r="BC3" s="1"/>
      <c r="BD3" s="1"/>
    </row>
    <row r="4" ht="33" customHeight="1" spans="1:56">
      <c r="A4" s="13" t="s">
        <v>53</v>
      </c>
      <c r="B4" s="14"/>
      <c r="C4" s="15" t="s">
        <v>74</v>
      </c>
      <c r="D4" s="15" t="s">
        <v>74</v>
      </c>
      <c r="E4" s="1">
        <v>1</v>
      </c>
      <c r="F4" s="3">
        <v>0.96</v>
      </c>
      <c r="G4" s="1" t="s">
        <v>55</v>
      </c>
      <c r="H4" s="16" t="str">
        <f t="shared" si="0"/>
        <v>AIRPLANE TOY</v>
      </c>
      <c r="I4" s="16" t="str">
        <f t="shared" si="1"/>
        <v>ABS</v>
      </c>
      <c r="J4" s="16" t="s">
        <v>75</v>
      </c>
      <c r="K4" s="17" t="str">
        <f t="shared" si="2"/>
        <v>高橋 亜衣美</v>
      </c>
      <c r="L4" s="17"/>
      <c r="M4" s="18" t="str">
        <f t="shared" si="3"/>
        <v>三重県鈴鹿市自由ヶ丘4丁目10ー25</v>
      </c>
      <c r="N4" s="19" t="str">
        <f t="shared" si="4"/>
        <v>三重県鈴鹿市自由ヶ丘4丁目10ー25</v>
      </c>
      <c r="O4" s="20" t="str">
        <f>MID(N4,MIN(IFERROR(FIND({0,1,2,3,4,5,6,7,8,9},N4),LEN(N4)+1)),LEN(N4))</f>
        <v>4丁目10ー25</v>
      </c>
      <c r="P4" s="20" t="str">
        <f t="shared" si="5"/>
        <v> 4丁目10ー25</v>
      </c>
      <c r="Q4" s="19" t="s">
        <v>76</v>
      </c>
      <c r="R4" s="21" t="s">
        <v>77</v>
      </c>
      <c r="S4" s="22" t="s">
        <v>59</v>
      </c>
      <c r="T4" s="22" t="s">
        <v>60</v>
      </c>
      <c r="U4" s="23" t="s">
        <v>61</v>
      </c>
      <c r="V4" s="23" t="s">
        <v>62</v>
      </c>
      <c r="W4" s="24"/>
      <c r="X4" s="25">
        <f t="shared" si="6"/>
        <v>8</v>
      </c>
      <c r="Y4" s="23" t="s">
        <v>63</v>
      </c>
      <c r="Z4" s="23" t="s">
        <v>62</v>
      </c>
      <c r="AA4" s="23"/>
      <c r="AB4" s="23" t="s">
        <v>64</v>
      </c>
      <c r="AD4" s="19" t="s">
        <v>75</v>
      </c>
      <c r="AE4" s="1" t="str">
        <f t="shared" si="7"/>
        <v>三重県鈴鹿市自由ヶ丘4丁目10ー25</v>
      </c>
      <c r="AF4" s="1" t="s">
        <v>77</v>
      </c>
      <c r="AG4" s="1" t="s">
        <v>76</v>
      </c>
      <c r="AH4" s="1" t="s">
        <v>78</v>
      </c>
      <c r="AI4" s="1" t="str">
        <f t="shared" si="8"/>
        <v>東京都新宿区 新宿３－７－９</v>
      </c>
      <c r="AJ4" s="1" t="s">
        <v>79</v>
      </c>
      <c r="AK4" s="26" t="s">
        <v>67</v>
      </c>
      <c r="AL4" s="26">
        <v>1</v>
      </c>
      <c r="AM4" s="19" t="str">
        <f ca="1" t="shared" ref="AM3:AM66" si="10">IF(OR(ISNUMBER(SEARCH("amazon",AH4)),ISNUMBER(SEARCH("亚马逊",AH4))),"PUS001",IF(OR(ISNUMBER(SEARCH("rakuten",AH4)),ISNUMBER(SEARCH("楽天",AH4)),ISNUMBER(SEARCH("乐天",AH4))),"PJP001",IF(ISNUMBER(SEARCH("tik tok shop",AH4)),"PSG003",IF(ISNUMBER(SEARCH("temu",AH4)),"PSG001",IF(ISNUMBER(SEARCH("shein",AH4)),"JSG001",IF(OR(ISNUMBER(SEARCH("yahoo",AH4)),ISNUMBER(SEARCH("雅虎",AH4)),ISNUMBER(SEARCH("雅",AH4)),LEFT(UPPER(AH4),1)="Y"),"PJP005",IF(ISNUMBER(SEARCH("DDA JAPAN",AH4)),CHOOSE(RANDBETWEEN(1,3),"temu","PSG003","PSG001"),"JCNZZZ")))))))</f>
        <v>JCNZZZ</v>
      </c>
      <c r="AN4" s="1" t="str">
        <f ca="1" t="shared" si="9"/>
        <v>TAOBAO0</v>
      </c>
      <c r="AU4" s="1" t="s">
        <v>80</v>
      </c>
      <c r="AV4" s="1" t="s">
        <v>81</v>
      </c>
      <c r="AW4" s="1" t="s">
        <v>82</v>
      </c>
      <c r="AX4" s="1" t="s">
        <v>83</v>
      </c>
      <c r="AY4" s="1" t="s">
        <v>72</v>
      </c>
      <c r="AZ4" s="1">
        <v>8</v>
      </c>
      <c r="BA4" s="1" t="s">
        <v>84</v>
      </c>
      <c r="BB4" s="1" t="s">
        <v>68</v>
      </c>
      <c r="BC4" s="1" t="s">
        <v>85</v>
      </c>
      <c r="BD4" s="1" t="s">
        <v>86</v>
      </c>
    </row>
    <row r="5" ht="33" customHeight="1" spans="1:56">
      <c r="A5" s="13" t="s">
        <v>53</v>
      </c>
      <c r="B5" s="14"/>
      <c r="C5" s="15" t="s">
        <v>87</v>
      </c>
      <c r="D5" s="15" t="s">
        <v>87</v>
      </c>
      <c r="E5" s="1">
        <v>1</v>
      </c>
      <c r="F5" s="3">
        <v>4.52</v>
      </c>
      <c r="G5" s="1" t="s">
        <v>55</v>
      </c>
      <c r="H5" s="16" t="str">
        <f t="shared" si="0"/>
        <v>LASER LEVEL</v>
      </c>
      <c r="I5" s="16" t="str">
        <f t="shared" si="1"/>
        <v>PLASTIC</v>
      </c>
      <c r="J5" s="16" t="s">
        <v>88</v>
      </c>
      <c r="K5" s="17" t="str">
        <f t="shared" si="2"/>
        <v>溝川　康之</v>
      </c>
      <c r="L5" s="17"/>
      <c r="M5" s="18" t="str">
        <f t="shared" si="3"/>
        <v>志布志市志布志町安楽 1969 株式会社　溝川工業 鹿児島県</v>
      </c>
      <c r="N5" s="19" t="str">
        <f t="shared" si="4"/>
        <v>志布志市志布志町安楽 1969 株式会社　溝川工業 鹿児島県</v>
      </c>
      <c r="O5" s="20" t="str">
        <f>MID(N5,MIN(IFERROR(FIND({0,1,2,3,4,5,6,7,8,9},N5),LEN(N5)+1)),LEN(N5))</f>
        <v>1969 株式会社　溝川工業 鹿児島県</v>
      </c>
      <c r="P5" s="20" t="str">
        <f t="shared" si="5"/>
        <v> 1969 株式会社　溝川工業 鹿児島県</v>
      </c>
      <c r="Q5" s="19" t="s">
        <v>89</v>
      </c>
      <c r="R5" s="21" t="s">
        <v>90</v>
      </c>
      <c r="S5" s="22" t="s">
        <v>59</v>
      </c>
      <c r="T5" s="22" t="s">
        <v>60</v>
      </c>
      <c r="U5" s="23" t="s">
        <v>61</v>
      </c>
      <c r="V5" s="23" t="s">
        <v>62</v>
      </c>
      <c r="W5" s="24"/>
      <c r="X5" s="25">
        <f t="shared" si="6"/>
        <v>40</v>
      </c>
      <c r="Y5" s="23" t="s">
        <v>63</v>
      </c>
      <c r="Z5" s="23" t="s">
        <v>62</v>
      </c>
      <c r="AA5" s="23"/>
      <c r="AB5" s="23" t="s">
        <v>64</v>
      </c>
      <c r="AD5" s="19" t="s">
        <v>88</v>
      </c>
      <c r="AE5" s="1" t="str">
        <f t="shared" si="7"/>
        <v>志布志市志布志町安楽 1969 株式会社　溝川工業 鹿児島県</v>
      </c>
      <c r="AF5" s="1" t="s">
        <v>90</v>
      </c>
      <c r="AG5" s="1" t="s">
        <v>89</v>
      </c>
      <c r="AH5" s="1"/>
      <c r="AI5" s="1" t="str">
        <f t="shared" si="8"/>
        <v> </v>
      </c>
      <c r="AJ5" s="1" t="s">
        <v>91</v>
      </c>
      <c r="AK5" s="26" t="s">
        <v>67</v>
      </c>
      <c r="AL5" s="26">
        <v>1</v>
      </c>
      <c r="AM5" s="19" t="str">
        <f ca="1" t="shared" si="10"/>
        <v>JCNZZZ</v>
      </c>
      <c r="AN5" s="1" t="str">
        <f ca="1" t="shared" si="9"/>
        <v>TAOBAO0</v>
      </c>
      <c r="AU5" s="1"/>
      <c r="AV5" s="1"/>
      <c r="AW5" s="1" t="s">
        <v>92</v>
      </c>
      <c r="AX5" s="1" t="s">
        <v>93</v>
      </c>
      <c r="AY5" s="1" t="s">
        <v>94</v>
      </c>
      <c r="AZ5" s="1">
        <v>40</v>
      </c>
      <c r="BA5" s="1" t="s">
        <v>91</v>
      </c>
      <c r="BB5" s="1"/>
      <c r="BC5" s="1"/>
      <c r="BD5" s="1"/>
    </row>
    <row r="6" ht="33" customHeight="1" spans="1:56">
      <c r="A6" s="13" t="s">
        <v>53</v>
      </c>
      <c r="B6" s="14"/>
      <c r="C6" s="15" t="s">
        <v>95</v>
      </c>
      <c r="D6" s="15" t="s">
        <v>95</v>
      </c>
      <c r="E6" s="1">
        <v>1</v>
      </c>
      <c r="F6" s="3">
        <v>2.18</v>
      </c>
      <c r="G6" s="1" t="s">
        <v>55</v>
      </c>
      <c r="H6" s="16" t="str">
        <f t="shared" si="0"/>
        <v>PLASTIC TOYS</v>
      </c>
      <c r="I6" s="16" t="str">
        <f t="shared" si="1"/>
        <v>PLASTIC</v>
      </c>
      <c r="J6" s="16" t="s">
        <v>96</v>
      </c>
      <c r="K6" s="17" t="str">
        <f t="shared" si="2"/>
        <v>池上 千夏</v>
      </c>
      <c r="L6" s="17"/>
      <c r="M6" s="18" t="str">
        <f t="shared" si="3"/>
        <v>神奈川県横浜市青葉区榎が丘25-1ドレッセ青葉台プレエスタ111</v>
      </c>
      <c r="N6" s="19" t="str">
        <f t="shared" si="4"/>
        <v>神奈川県横浜市青葉区榎が丘25-1ドレッセ青葉台プレエスタ111</v>
      </c>
      <c r="O6" s="20" t="str">
        <f>MID(N6,MIN(IFERROR(FIND({0,1,2,3,4,5,6,7,8,9},N6),LEN(N6)+1)),LEN(N6))</f>
        <v>25-1ドレッセ青葉台プレエスタ111</v>
      </c>
      <c r="P6" s="20" t="str">
        <f t="shared" si="5"/>
        <v> 25-1ドレッセ青葉台プレエスタ111</v>
      </c>
      <c r="Q6" s="19" t="s">
        <v>97</v>
      </c>
      <c r="R6" s="21" t="s">
        <v>98</v>
      </c>
      <c r="S6" s="22" t="s">
        <v>59</v>
      </c>
      <c r="T6" s="22" t="s">
        <v>60</v>
      </c>
      <c r="U6" s="23" t="s">
        <v>61</v>
      </c>
      <c r="V6" s="23" t="s">
        <v>62</v>
      </c>
      <c r="W6" s="24"/>
      <c r="X6" s="25">
        <f t="shared" si="6"/>
        <v>10</v>
      </c>
      <c r="Y6" s="23" t="s">
        <v>63</v>
      </c>
      <c r="Z6" s="23" t="s">
        <v>62</v>
      </c>
      <c r="AA6" s="23"/>
      <c r="AB6" s="23" t="s">
        <v>64</v>
      </c>
      <c r="AD6" s="19" t="s">
        <v>96</v>
      </c>
      <c r="AE6" s="1" t="str">
        <f t="shared" si="7"/>
        <v>神奈川県横浜市青葉区榎が丘25-1ドレッセ青葉台プレエスタ111</v>
      </c>
      <c r="AF6" s="1" t="s">
        <v>98</v>
      </c>
      <c r="AG6" s="1" t="s">
        <v>97</v>
      </c>
      <c r="AH6" s="1" t="s">
        <v>99</v>
      </c>
      <c r="AI6" s="1" t="str">
        <f t="shared" si="8"/>
        <v>NoneGuangDong 龙华区梅坂路民乐科技大厦211室</v>
      </c>
      <c r="AJ6" s="1" t="s">
        <v>100</v>
      </c>
      <c r="AK6" s="26" t="s">
        <v>67</v>
      </c>
      <c r="AL6" s="26">
        <v>1</v>
      </c>
      <c r="AM6" s="19" t="str">
        <f ca="1" t="shared" si="10"/>
        <v>JCNZZZ</v>
      </c>
      <c r="AN6" s="1" t="str">
        <f ca="1" t="shared" si="9"/>
        <v>ALIBABA</v>
      </c>
      <c r="AU6" s="1" t="s">
        <v>101</v>
      </c>
      <c r="AV6" s="1" t="s">
        <v>102</v>
      </c>
      <c r="AW6" s="1" t="s">
        <v>103</v>
      </c>
      <c r="AX6" s="1" t="s">
        <v>104</v>
      </c>
      <c r="AY6" s="1" t="s">
        <v>105</v>
      </c>
      <c r="AZ6" s="1">
        <v>10</v>
      </c>
      <c r="BA6" s="1" t="s">
        <v>106</v>
      </c>
      <c r="BB6" s="1" t="s">
        <v>107</v>
      </c>
      <c r="BC6" s="1" t="s">
        <v>108</v>
      </c>
      <c r="BD6" s="1" t="s">
        <v>86</v>
      </c>
    </row>
    <row r="7" ht="33" customHeight="1" spans="1:56">
      <c r="A7" s="13" t="s">
        <v>53</v>
      </c>
      <c r="B7" s="14"/>
      <c r="C7" s="15" t="s">
        <v>109</v>
      </c>
      <c r="D7" s="15" t="s">
        <v>109</v>
      </c>
      <c r="E7" s="1">
        <v>1</v>
      </c>
      <c r="F7" s="3">
        <v>0.24</v>
      </c>
      <c r="G7" s="1" t="s">
        <v>55</v>
      </c>
      <c r="H7" s="16" t="str">
        <f t="shared" si="0"/>
        <v>LED LIGHTS</v>
      </c>
      <c r="I7" s="16" t="str">
        <f t="shared" si="1"/>
        <v>WOODEN</v>
      </c>
      <c r="J7" s="16" t="s">
        <v>110</v>
      </c>
      <c r="K7" s="17" t="str">
        <f t="shared" si="2"/>
        <v>松村 光博</v>
      </c>
      <c r="L7" s="17"/>
      <c r="M7" s="18" t="str">
        <f t="shared" si="3"/>
        <v>北海道夕張郡長沼町旭町北1丁目3ー17</v>
      </c>
      <c r="N7" s="19" t="str">
        <f t="shared" si="4"/>
        <v>北海道夕張郡長沼町旭町北1丁目3ー17</v>
      </c>
      <c r="O7" s="20" t="str">
        <f>MID(N7,MIN(IFERROR(FIND({0,1,2,3,4,5,6,7,8,9},N7),LEN(N7)+1)),LEN(N7))</f>
        <v>1丁目3ー17</v>
      </c>
      <c r="P7" s="20" t="str">
        <f t="shared" si="5"/>
        <v> 1丁目3ー17</v>
      </c>
      <c r="Q7" s="19" t="s">
        <v>111</v>
      </c>
      <c r="R7" s="21" t="s">
        <v>112</v>
      </c>
      <c r="S7" s="22" t="s">
        <v>59</v>
      </c>
      <c r="T7" s="22" t="s">
        <v>60</v>
      </c>
      <c r="U7" s="23" t="s">
        <v>61</v>
      </c>
      <c r="V7" s="23" t="s">
        <v>62</v>
      </c>
      <c r="W7" s="24"/>
      <c r="X7" s="25">
        <f t="shared" si="6"/>
        <v>17</v>
      </c>
      <c r="Y7" s="23" t="s">
        <v>63</v>
      </c>
      <c r="Z7" s="23" t="s">
        <v>62</v>
      </c>
      <c r="AA7" s="23"/>
      <c r="AB7" s="23" t="s">
        <v>64</v>
      </c>
      <c r="AD7" s="19" t="s">
        <v>110</v>
      </c>
      <c r="AE7" s="1" t="str">
        <f t="shared" si="7"/>
        <v>北海道夕張郡長沼町旭町北1丁目3ー17</v>
      </c>
      <c r="AF7" s="1" t="s">
        <v>112</v>
      </c>
      <c r="AG7" s="1" t="s">
        <v>111</v>
      </c>
      <c r="AH7" s="1" t="s">
        <v>113</v>
      </c>
      <c r="AI7" s="1" t="str">
        <f t="shared" si="8"/>
        <v> 東京都大田区上池台３－２４－１４スターハイツ洗足池２　２０２</v>
      </c>
      <c r="AJ7" s="1" t="s">
        <v>114</v>
      </c>
      <c r="AK7" s="26" t="s">
        <v>67</v>
      </c>
      <c r="AL7" s="26">
        <v>1</v>
      </c>
      <c r="AM7" s="19" t="str">
        <f ca="1" t="shared" si="10"/>
        <v>PJP001</v>
      </c>
      <c r="AN7" s="1" t="str">
        <f ca="1" t="shared" si="9"/>
        <v/>
      </c>
      <c r="AU7" s="1" t="s">
        <v>115</v>
      </c>
      <c r="AV7" s="1" t="s">
        <v>116</v>
      </c>
      <c r="AW7" s="1" t="s">
        <v>117</v>
      </c>
      <c r="AX7" s="1" t="s">
        <v>118</v>
      </c>
      <c r="AY7" s="1" t="s">
        <v>119</v>
      </c>
      <c r="AZ7" s="1">
        <v>17</v>
      </c>
      <c r="BA7" s="1" t="s">
        <v>120</v>
      </c>
      <c r="BB7" s="1"/>
      <c r="BC7" s="1"/>
      <c r="BD7" s="1"/>
    </row>
    <row r="8" ht="33" customHeight="1" spans="1:56">
      <c r="A8" s="13" t="s">
        <v>53</v>
      </c>
      <c r="B8" s="14"/>
      <c r="C8" s="15" t="s">
        <v>121</v>
      </c>
      <c r="D8" s="15" t="s">
        <v>121</v>
      </c>
      <c r="E8" s="1">
        <v>1</v>
      </c>
      <c r="F8" s="3">
        <v>2.07</v>
      </c>
      <c r="G8" s="1" t="s">
        <v>55</v>
      </c>
      <c r="H8" s="16" t="str">
        <f t="shared" si="0"/>
        <v>PLASTIC CORNER PROTECTORS</v>
      </c>
      <c r="I8" s="16" t="str">
        <f t="shared" si="1"/>
        <v>PLASTICS</v>
      </c>
      <c r="J8" s="16" t="s">
        <v>122</v>
      </c>
      <c r="K8" s="17" t="str">
        <f t="shared" si="2"/>
        <v>目片 まゆみ</v>
      </c>
      <c r="L8" s="17"/>
      <c r="M8" s="18" t="str">
        <f t="shared" si="3"/>
        <v>滋賀県甲賀市信楽町勅旨1993 ギャラリーきりん</v>
      </c>
      <c r="N8" s="19" t="str">
        <f t="shared" si="4"/>
        <v>滋賀県甲賀市信楽町勅旨1993 ギャラリーきりん</v>
      </c>
      <c r="O8" s="20" t="str">
        <f>MID(N8,MIN(IFERROR(FIND({0,1,2,3,4,5,6,7,8,9},N8),LEN(N8)+1)),LEN(N8))</f>
        <v>1993 ギャラリーきりん</v>
      </c>
      <c r="P8" s="20" t="str">
        <f t="shared" si="5"/>
        <v> 1993 ギャラリーきりん</v>
      </c>
      <c r="Q8" s="19" t="s">
        <v>123</v>
      </c>
      <c r="R8" s="21" t="s">
        <v>124</v>
      </c>
      <c r="S8" s="22" t="s">
        <v>59</v>
      </c>
      <c r="T8" s="22" t="s">
        <v>60</v>
      </c>
      <c r="U8" s="23" t="s">
        <v>61</v>
      </c>
      <c r="V8" s="23" t="s">
        <v>62</v>
      </c>
      <c r="W8" s="24"/>
      <c r="X8" s="25">
        <f t="shared" si="6"/>
        <v>12</v>
      </c>
      <c r="Y8" s="23" t="s">
        <v>63</v>
      </c>
      <c r="Z8" s="23" t="s">
        <v>62</v>
      </c>
      <c r="AA8" s="23"/>
      <c r="AB8" s="23" t="s">
        <v>64</v>
      </c>
      <c r="AD8" s="19" t="s">
        <v>122</v>
      </c>
      <c r="AE8" s="1" t="str">
        <f t="shared" si="7"/>
        <v>滋賀県甲賀市信楽町勅旨1993 ギャラリーきりん</v>
      </c>
      <c r="AF8" s="1" t="s">
        <v>124</v>
      </c>
      <c r="AG8" s="1" t="s">
        <v>123</v>
      </c>
      <c r="AH8" s="1" t="s">
        <v>125</v>
      </c>
      <c r="AI8" s="1" t="str">
        <f t="shared" si="8"/>
        <v> 滋賀県甲賀市甲南町野尻558</v>
      </c>
      <c r="AJ8" s="1" t="s">
        <v>126</v>
      </c>
      <c r="AK8" s="26" t="s">
        <v>67</v>
      </c>
      <c r="AL8" s="26">
        <v>1</v>
      </c>
      <c r="AM8" s="19" t="str">
        <f ca="1" t="shared" si="10"/>
        <v>PJP001</v>
      </c>
      <c r="AN8" s="1" t="str">
        <f ca="1" t="shared" si="9"/>
        <v/>
      </c>
      <c r="AU8" s="1" t="s">
        <v>127</v>
      </c>
      <c r="AV8" s="1" t="s">
        <v>128</v>
      </c>
      <c r="AW8" s="1" t="s">
        <v>129</v>
      </c>
      <c r="AX8" s="1" t="s">
        <v>130</v>
      </c>
      <c r="AY8" s="1" t="s">
        <v>131</v>
      </c>
      <c r="AZ8" s="1">
        <v>12</v>
      </c>
      <c r="BA8" s="1" t="s">
        <v>132</v>
      </c>
      <c r="BB8" s="1"/>
      <c r="BC8" s="1"/>
      <c r="BD8" s="1"/>
    </row>
    <row r="9" ht="33" customHeight="1" spans="1:56">
      <c r="A9" s="13" t="s">
        <v>53</v>
      </c>
      <c r="B9" s="14"/>
      <c r="C9" s="15" t="s">
        <v>133</v>
      </c>
      <c r="D9" s="15" t="s">
        <v>133</v>
      </c>
      <c r="E9" s="1">
        <v>1</v>
      </c>
      <c r="F9" s="3">
        <v>1.2</v>
      </c>
      <c r="G9" s="1" t="s">
        <v>55</v>
      </c>
      <c r="H9" s="16" t="str">
        <f t="shared" si="0"/>
        <v>CLOTHES</v>
      </c>
      <c r="I9" s="16" t="str">
        <f t="shared" si="1"/>
        <v>POLYESTER; </v>
      </c>
      <c r="J9" s="16" t="s">
        <v>134</v>
      </c>
      <c r="K9" s="17" t="str">
        <f t="shared" si="2"/>
        <v>株式会社 東海カンパニー</v>
      </c>
      <c r="L9" s="17"/>
      <c r="M9" s="18" t="str">
        <f t="shared" si="3"/>
        <v>愛知県豊田市宝町東田25番地</v>
      </c>
      <c r="N9" s="19" t="str">
        <f t="shared" si="4"/>
        <v>愛知県豊田市宝町東田25番地</v>
      </c>
      <c r="O9" s="20" t="str">
        <f>MID(N9,MIN(IFERROR(FIND({0,1,2,3,4,5,6,7,8,9},N9),LEN(N9)+1)),LEN(N9))</f>
        <v>25番地</v>
      </c>
      <c r="P9" s="20" t="str">
        <f t="shared" si="5"/>
        <v> 25番地</v>
      </c>
      <c r="Q9" s="19" t="s">
        <v>135</v>
      </c>
      <c r="R9" s="21" t="s">
        <v>136</v>
      </c>
      <c r="S9" s="22" t="s">
        <v>59</v>
      </c>
      <c r="T9" s="22" t="s">
        <v>60</v>
      </c>
      <c r="U9" s="23" t="s">
        <v>61</v>
      </c>
      <c r="V9" s="23" t="s">
        <v>62</v>
      </c>
      <c r="W9" s="24"/>
      <c r="X9" s="25">
        <f t="shared" si="6"/>
        <v>13</v>
      </c>
      <c r="Y9" s="23" t="s">
        <v>63</v>
      </c>
      <c r="Z9" s="23" t="s">
        <v>62</v>
      </c>
      <c r="AA9" s="23"/>
      <c r="AB9" s="23" t="s">
        <v>64</v>
      </c>
      <c r="AD9" s="19" t="s">
        <v>134</v>
      </c>
      <c r="AE9" s="1" t="str">
        <f t="shared" si="7"/>
        <v>愛知県豊田市宝町東田25番地</v>
      </c>
      <c r="AF9" s="1" t="s">
        <v>136</v>
      </c>
      <c r="AG9" s="1" t="s">
        <v>135</v>
      </c>
      <c r="AH9" s="1" t="s">
        <v>125</v>
      </c>
      <c r="AI9" s="1" t="str">
        <f t="shared" si="8"/>
        <v> 滋賀県甲賀市甲南町野尻558</v>
      </c>
      <c r="AJ9" s="1" t="s">
        <v>126</v>
      </c>
      <c r="AK9" s="26" t="s">
        <v>67</v>
      </c>
      <c r="AL9" s="26">
        <v>1</v>
      </c>
      <c r="AM9" s="19" t="str">
        <f ca="1" t="shared" si="10"/>
        <v>PJP001</v>
      </c>
      <c r="AN9" s="1" t="str">
        <f ca="1" t="shared" si="9"/>
        <v/>
      </c>
      <c r="AU9" s="1" t="s">
        <v>137</v>
      </c>
      <c r="AV9" s="1" t="s">
        <v>138</v>
      </c>
      <c r="AW9" s="1" t="s">
        <v>139</v>
      </c>
      <c r="AX9" s="1" t="s">
        <v>140</v>
      </c>
      <c r="AY9" s="1" t="s">
        <v>141</v>
      </c>
      <c r="AZ9" s="1">
        <v>13</v>
      </c>
      <c r="BA9" s="1" t="s">
        <v>132</v>
      </c>
      <c r="BB9" s="1"/>
      <c r="BC9" s="1"/>
      <c r="BD9" s="1"/>
    </row>
    <row r="10" ht="33" customHeight="1" spans="1:56">
      <c r="A10" s="13" t="s">
        <v>53</v>
      </c>
      <c r="B10" s="14"/>
      <c r="C10" s="15" t="s">
        <v>142</v>
      </c>
      <c r="D10" s="15" t="s">
        <v>142</v>
      </c>
      <c r="E10" s="1">
        <v>1</v>
      </c>
      <c r="F10" s="3">
        <v>0.93</v>
      </c>
      <c r="G10" s="1" t="s">
        <v>55</v>
      </c>
      <c r="H10" s="16" t="str">
        <f t="shared" si="0"/>
        <v>DIY TOOLS,WATERPROOF COATING</v>
      </c>
      <c r="I10" s="16" t="str">
        <f t="shared" si="1"/>
        <v>PE</v>
      </c>
      <c r="J10" s="16" t="s">
        <v>143</v>
      </c>
      <c r="K10" s="17" t="str">
        <f t="shared" si="2"/>
        <v>廣岡 美鈴</v>
      </c>
      <c r="L10" s="17"/>
      <c r="M10" s="18" t="str">
        <f t="shared" si="3"/>
        <v>京都府福知山市大江町南有路1208</v>
      </c>
      <c r="N10" s="19" t="str">
        <f t="shared" si="4"/>
        <v>京都府福知山市大江町南有路1208</v>
      </c>
      <c r="O10" s="20" t="str">
        <f>MID(N10,MIN(IFERROR(FIND({0,1,2,3,4,5,6,7,8,9},N10),LEN(N10)+1)),LEN(N10))</f>
        <v>1208</v>
      </c>
      <c r="P10" s="20" t="str">
        <f t="shared" si="5"/>
        <v> 1208</v>
      </c>
      <c r="Q10" s="19" t="s">
        <v>144</v>
      </c>
      <c r="R10" s="21" t="s">
        <v>145</v>
      </c>
      <c r="S10" s="22" t="s">
        <v>59</v>
      </c>
      <c r="T10" s="22" t="s">
        <v>60</v>
      </c>
      <c r="U10" s="23" t="s">
        <v>61</v>
      </c>
      <c r="V10" s="23" t="s">
        <v>62</v>
      </c>
      <c r="W10" s="24"/>
      <c r="X10" s="25">
        <f t="shared" si="6"/>
        <v>12</v>
      </c>
      <c r="Y10" s="23" t="s">
        <v>63</v>
      </c>
      <c r="Z10" s="23" t="s">
        <v>62</v>
      </c>
      <c r="AA10" s="23"/>
      <c r="AB10" s="23" t="s">
        <v>64</v>
      </c>
      <c r="AD10" s="19" t="s">
        <v>143</v>
      </c>
      <c r="AE10" s="1" t="str">
        <f t="shared" si="7"/>
        <v>京都府福知山市大江町南有路1208</v>
      </c>
      <c r="AF10" s="1" t="s">
        <v>145</v>
      </c>
      <c r="AG10" s="1" t="s">
        <v>144</v>
      </c>
      <c r="AH10" s="1" t="s">
        <v>146</v>
      </c>
      <c r="AI10" s="1" t="str">
        <f t="shared" si="8"/>
        <v> 神奈川県川崎市高津区下作延２－２２－５クレイノアクアパレス２０５</v>
      </c>
      <c r="AJ10" s="1" t="s">
        <v>147</v>
      </c>
      <c r="AK10" s="26" t="s">
        <v>67</v>
      </c>
      <c r="AL10" s="26">
        <v>1</v>
      </c>
      <c r="AM10" s="19" t="str">
        <f ca="1" t="shared" si="10"/>
        <v>JCNZZZ</v>
      </c>
      <c r="AN10" s="1" t="str">
        <f ca="1" t="shared" si="9"/>
        <v>ALIBABA</v>
      </c>
      <c r="AU10" s="1" t="s">
        <v>148</v>
      </c>
      <c r="AV10" s="1" t="s">
        <v>149</v>
      </c>
      <c r="AW10" s="1" t="s">
        <v>150</v>
      </c>
      <c r="AX10" s="1" t="s">
        <v>151</v>
      </c>
      <c r="AY10" s="1" t="s">
        <v>152</v>
      </c>
      <c r="AZ10" s="1">
        <v>12</v>
      </c>
      <c r="BA10" s="1" t="s">
        <v>153</v>
      </c>
      <c r="BB10" s="1"/>
      <c r="BC10" s="1"/>
      <c r="BD10" s="1"/>
    </row>
    <row r="11" ht="33" customHeight="1" spans="1:56">
      <c r="A11" s="13" t="s">
        <v>53</v>
      </c>
      <c r="B11" s="14"/>
      <c r="C11" s="15" t="s">
        <v>154</v>
      </c>
      <c r="D11" s="15" t="s">
        <v>154</v>
      </c>
      <c r="E11" s="1">
        <v>1</v>
      </c>
      <c r="F11" s="3">
        <v>0.28</v>
      </c>
      <c r="G11" s="1" t="s">
        <v>55</v>
      </c>
      <c r="H11" s="16" t="str">
        <f t="shared" si="0"/>
        <v>JEWELRY BOX</v>
      </c>
      <c r="I11" s="16" t="str">
        <f t="shared" si="1"/>
        <v>METAL</v>
      </c>
      <c r="J11" s="16" t="s">
        <v>155</v>
      </c>
      <c r="K11" s="17" t="str">
        <f t="shared" si="2"/>
        <v>佐藤 蛍</v>
      </c>
      <c r="L11" s="17"/>
      <c r="M11" s="18" t="str">
        <f t="shared" si="3"/>
        <v>北海道函館市尾札部町1945-3</v>
      </c>
      <c r="N11" s="19" t="str">
        <f t="shared" si="4"/>
        <v>北海道函館市尾札部町1945-3</v>
      </c>
      <c r="O11" s="20" t="str">
        <f>MID(N11,MIN(IFERROR(FIND({0,1,2,3,4,5,6,7,8,9},N11),LEN(N11)+1)),LEN(N11))</f>
        <v>1945-3</v>
      </c>
      <c r="P11" s="20" t="str">
        <f t="shared" si="5"/>
        <v> 1945-3</v>
      </c>
      <c r="Q11" s="19" t="s">
        <v>156</v>
      </c>
      <c r="R11" s="21" t="s">
        <v>157</v>
      </c>
      <c r="S11" s="22" t="s">
        <v>59</v>
      </c>
      <c r="T11" s="22" t="s">
        <v>60</v>
      </c>
      <c r="U11" s="23" t="s">
        <v>61</v>
      </c>
      <c r="V11" s="23" t="s">
        <v>62</v>
      </c>
      <c r="W11" s="24"/>
      <c r="X11" s="25">
        <f t="shared" si="6"/>
        <v>15</v>
      </c>
      <c r="Y11" s="23" t="s">
        <v>63</v>
      </c>
      <c r="Z11" s="23" t="s">
        <v>62</v>
      </c>
      <c r="AA11" s="23"/>
      <c r="AB11" s="23" t="s">
        <v>64</v>
      </c>
      <c r="AD11" s="19" t="s">
        <v>155</v>
      </c>
      <c r="AE11" s="1" t="str">
        <f t="shared" si="7"/>
        <v>北海道函館市尾札部町1945-3</v>
      </c>
      <c r="AF11" s="1" t="s">
        <v>157</v>
      </c>
      <c r="AG11" s="1" t="s">
        <v>156</v>
      </c>
      <c r="AH11" s="1" t="s">
        <v>146</v>
      </c>
      <c r="AI11" s="1" t="str">
        <f t="shared" si="8"/>
        <v> 神奈川県川崎市高津区下作延２－２２－５クレイノアクアパレス２０５</v>
      </c>
      <c r="AJ11" s="1" t="s">
        <v>147</v>
      </c>
      <c r="AK11" s="26" t="s">
        <v>67</v>
      </c>
      <c r="AL11" s="26">
        <v>1</v>
      </c>
      <c r="AM11" s="19" t="str">
        <f ca="1" t="shared" si="10"/>
        <v>JCNZZZ</v>
      </c>
      <c r="AN11" s="1" t="str">
        <f ca="1" t="shared" si="9"/>
        <v>JinDdong</v>
      </c>
      <c r="AU11" s="1" t="s">
        <v>115</v>
      </c>
      <c r="AV11" s="1" t="s">
        <v>158</v>
      </c>
      <c r="AW11" s="1" t="s">
        <v>159</v>
      </c>
      <c r="AX11" s="1" t="s">
        <v>160</v>
      </c>
      <c r="AY11" s="1" t="s">
        <v>161</v>
      </c>
      <c r="AZ11" s="1">
        <v>15</v>
      </c>
      <c r="BA11" s="1" t="s">
        <v>153</v>
      </c>
      <c r="BB11" s="1"/>
      <c r="BC11" s="1"/>
      <c r="BD11" s="1"/>
    </row>
    <row r="12" ht="33" customHeight="1" spans="1:56">
      <c r="A12" s="13" t="s">
        <v>53</v>
      </c>
      <c r="B12" s="14"/>
      <c r="C12" s="15" t="s">
        <v>162</v>
      </c>
      <c r="D12" s="15" t="s">
        <v>162</v>
      </c>
      <c r="E12" s="1">
        <v>1</v>
      </c>
      <c r="F12" s="3">
        <v>0.85</v>
      </c>
      <c r="G12" s="1" t="s">
        <v>55</v>
      </c>
      <c r="H12" s="16" t="str">
        <f t="shared" si="0"/>
        <v>LAMP</v>
      </c>
      <c r="I12" s="16" t="str">
        <f t="shared" si="1"/>
        <v>PLASTIC</v>
      </c>
      <c r="J12" s="16" t="s">
        <v>163</v>
      </c>
      <c r="K12" s="17" t="str">
        <f t="shared" si="2"/>
        <v>阪ノ下 芽美 [サカノシタ メイミ]</v>
      </c>
      <c r="L12" s="17"/>
      <c r="M12" s="18" t="str">
        <f t="shared" si="3"/>
        <v>神奈川県横浜市青葉区しらとり台62-1 Novem しらとり台 9</v>
      </c>
      <c r="N12" s="19" t="str">
        <f t="shared" si="4"/>
        <v>神奈川県横浜市青葉区しらとり台62-1 NOVEM しらとり台 9</v>
      </c>
      <c r="O12" s="20" t="str">
        <f>MID(N12,MIN(IFERROR(FIND({0,1,2,3,4,5,6,7,8,9},N12),LEN(N12)+1)),LEN(N12))</f>
        <v>62-1 NOVEM しらとり台 9</v>
      </c>
      <c r="P12" s="20" t="str">
        <f t="shared" si="5"/>
        <v> 62-1 NOVEM しらとり台 9</v>
      </c>
      <c r="Q12" s="19" t="s">
        <v>164</v>
      </c>
      <c r="R12" s="21" t="s">
        <v>165</v>
      </c>
      <c r="S12" s="22" t="s">
        <v>59</v>
      </c>
      <c r="T12" s="22" t="s">
        <v>60</v>
      </c>
      <c r="U12" s="23" t="s">
        <v>61</v>
      </c>
      <c r="V12" s="23" t="s">
        <v>62</v>
      </c>
      <c r="W12" s="24"/>
      <c r="X12" s="25">
        <f t="shared" si="6"/>
        <v>8</v>
      </c>
      <c r="Y12" s="23" t="s">
        <v>63</v>
      </c>
      <c r="Z12" s="23" t="s">
        <v>62</v>
      </c>
      <c r="AA12" s="23"/>
      <c r="AB12" s="23" t="s">
        <v>64</v>
      </c>
      <c r="AD12" s="19" t="s">
        <v>163</v>
      </c>
      <c r="AE12" s="1" t="str">
        <f t="shared" si="7"/>
        <v>神奈川県横浜市青葉区しらとり台62-1 Novem しらとり台 9</v>
      </c>
      <c r="AF12" s="1" t="s">
        <v>165</v>
      </c>
      <c r="AG12" s="1" t="s">
        <v>164</v>
      </c>
      <c r="AH12" s="1" t="s">
        <v>166</v>
      </c>
      <c r="AI12" s="1" t="str">
        <f t="shared" si="8"/>
        <v> 上野芝町2－5－1－５０７</v>
      </c>
      <c r="AJ12" s="1" t="s">
        <v>167</v>
      </c>
      <c r="AK12" s="26" t="s">
        <v>67</v>
      </c>
      <c r="AL12" s="26">
        <v>1</v>
      </c>
      <c r="AM12" s="19" t="str">
        <f ca="1" t="shared" si="10"/>
        <v>PJP001</v>
      </c>
      <c r="AN12" s="1" t="str">
        <f ca="1" t="shared" si="9"/>
        <v/>
      </c>
      <c r="AU12" s="1" t="s">
        <v>101</v>
      </c>
      <c r="AV12" s="1" t="s">
        <v>168</v>
      </c>
      <c r="AW12" s="1" t="s">
        <v>169</v>
      </c>
      <c r="AX12" s="1" t="s">
        <v>170</v>
      </c>
      <c r="AY12" s="1" t="s">
        <v>94</v>
      </c>
      <c r="AZ12" s="1">
        <v>8</v>
      </c>
      <c r="BA12" s="1" t="s">
        <v>171</v>
      </c>
      <c r="BB12" s="1"/>
      <c r="BC12" s="1"/>
      <c r="BD12" s="1"/>
    </row>
    <row r="13" ht="33" customHeight="1" spans="1:56">
      <c r="A13" s="13" t="s">
        <v>53</v>
      </c>
      <c r="B13" s="14"/>
      <c r="C13" s="15" t="s">
        <v>172</v>
      </c>
      <c r="D13" s="15" t="s">
        <v>172</v>
      </c>
      <c r="E13" s="1">
        <v>1</v>
      </c>
      <c r="F13" s="3">
        <v>0.84</v>
      </c>
      <c r="G13" s="1" t="s">
        <v>55</v>
      </c>
      <c r="H13" s="16" t="str">
        <f t="shared" si="0"/>
        <v>PLASTIC TOYS</v>
      </c>
      <c r="I13" s="16" t="str">
        <f t="shared" si="1"/>
        <v>ABS</v>
      </c>
      <c r="J13" s="16" t="s">
        <v>173</v>
      </c>
      <c r="K13" s="17" t="str">
        <f t="shared" si="2"/>
        <v>株式会社 カラオケエンタテイメント [カブシキガイシャ カラオケエンタテイメント]</v>
      </c>
      <c r="L13" s="17"/>
      <c r="M13" s="18" t="str">
        <f t="shared" si="3"/>
        <v>東京都千代田区神田神保町1-2</v>
      </c>
      <c r="N13" s="19" t="str">
        <f t="shared" si="4"/>
        <v>東京都千代田区神田神保町1-2</v>
      </c>
      <c r="O13" s="20" t="str">
        <f>MID(N13,MIN(IFERROR(FIND({0,1,2,3,4,5,6,7,8,9},N13),LEN(N13)+1)),LEN(N13))</f>
        <v>1-2</v>
      </c>
      <c r="P13" s="20" t="str">
        <f t="shared" si="5"/>
        <v> 1-2</v>
      </c>
      <c r="Q13" s="19" t="s">
        <v>174</v>
      </c>
      <c r="R13" s="21" t="s">
        <v>175</v>
      </c>
      <c r="S13" s="22" t="s">
        <v>59</v>
      </c>
      <c r="T13" s="22" t="s">
        <v>60</v>
      </c>
      <c r="U13" s="23" t="s">
        <v>61</v>
      </c>
      <c r="V13" s="23" t="s">
        <v>62</v>
      </c>
      <c r="W13" s="24"/>
      <c r="X13" s="25">
        <f t="shared" si="6"/>
        <v>16</v>
      </c>
      <c r="Y13" s="23" t="s">
        <v>63</v>
      </c>
      <c r="Z13" s="23" t="s">
        <v>62</v>
      </c>
      <c r="AA13" s="23"/>
      <c r="AB13" s="23" t="s">
        <v>64</v>
      </c>
      <c r="AD13" s="19" t="s">
        <v>173</v>
      </c>
      <c r="AE13" s="1" t="str">
        <f t="shared" si="7"/>
        <v>東京都千代田区神田神保町1-2</v>
      </c>
      <c r="AF13" s="1" t="s">
        <v>175</v>
      </c>
      <c r="AG13" s="1" t="s">
        <v>174</v>
      </c>
      <c r="AH13" s="1" t="s">
        <v>176</v>
      </c>
      <c r="AI13" s="1" t="str">
        <f t="shared" si="8"/>
        <v> 東京都品川区平塚1-13-1</v>
      </c>
      <c r="AJ13" s="1" t="s">
        <v>177</v>
      </c>
      <c r="AK13" s="26" t="s">
        <v>67</v>
      </c>
      <c r="AL13" s="26">
        <v>1</v>
      </c>
      <c r="AM13" s="19" t="str">
        <f ca="1" t="shared" si="10"/>
        <v>PJP001</v>
      </c>
      <c r="AN13" s="1" t="str">
        <f ca="1" t="shared" si="9"/>
        <v/>
      </c>
      <c r="AU13" s="1" t="s">
        <v>68</v>
      </c>
      <c r="AV13" s="1" t="s">
        <v>178</v>
      </c>
      <c r="AW13" s="1" t="s">
        <v>179</v>
      </c>
      <c r="AX13" s="1" t="s">
        <v>104</v>
      </c>
      <c r="AY13" s="1" t="s">
        <v>72</v>
      </c>
      <c r="AZ13" s="1">
        <v>16.8</v>
      </c>
      <c r="BA13" s="1" t="s">
        <v>180</v>
      </c>
      <c r="BB13" s="1"/>
      <c r="BC13" s="1"/>
      <c r="BD13" s="1"/>
    </row>
    <row r="14" ht="33" customHeight="1" spans="1:56">
      <c r="A14" s="13" t="s">
        <v>53</v>
      </c>
      <c r="B14" s="14"/>
      <c r="C14" s="15" t="s">
        <v>181</v>
      </c>
      <c r="D14" s="15" t="s">
        <v>181</v>
      </c>
      <c r="E14" s="1">
        <v>1</v>
      </c>
      <c r="F14" s="3">
        <v>10.36</v>
      </c>
      <c r="G14" s="1" t="s">
        <v>55</v>
      </c>
      <c r="H14" s="16" t="str">
        <f t="shared" si="0"/>
        <v>STORAGE BOX</v>
      </c>
      <c r="I14" s="16" t="str">
        <f t="shared" si="1"/>
        <v>ABS</v>
      </c>
      <c r="J14" s="16" t="s">
        <v>182</v>
      </c>
      <c r="K14" s="17" t="str">
        <f t="shared" si="2"/>
        <v>野村 京</v>
      </c>
      <c r="L14" s="17"/>
      <c r="M14" s="18" t="str">
        <f t="shared" si="3"/>
        <v>東京都新宿区西新宿7丁目1-12　 Crossoffice新宿705</v>
      </c>
      <c r="N14" s="19" t="str">
        <f t="shared" si="4"/>
        <v>東京都新宿区西新宿7丁目1-12　 CROSSOFFICE新宿705</v>
      </c>
      <c r="O14" s="20" t="str">
        <f>MID(N14,MIN(IFERROR(FIND({0,1,2,3,4,5,6,7,8,9},N14),LEN(N14)+1)),LEN(N14))</f>
        <v>7丁目1-12　 CROSSOFFICE新宿705</v>
      </c>
      <c r="P14" s="20" t="str">
        <f t="shared" si="5"/>
        <v> 7丁目1-12　 CROSSOFFICE新宿705</v>
      </c>
      <c r="Q14" s="19" t="s">
        <v>183</v>
      </c>
      <c r="R14" s="21" t="s">
        <v>184</v>
      </c>
      <c r="S14" s="22" t="s">
        <v>59</v>
      </c>
      <c r="T14" s="22" t="s">
        <v>60</v>
      </c>
      <c r="U14" s="23" t="s">
        <v>61</v>
      </c>
      <c r="V14" s="23" t="s">
        <v>62</v>
      </c>
      <c r="W14" s="24"/>
      <c r="X14" s="25">
        <f t="shared" si="6"/>
        <v>32</v>
      </c>
      <c r="Y14" s="23" t="s">
        <v>63</v>
      </c>
      <c r="Z14" s="23" t="s">
        <v>62</v>
      </c>
      <c r="AA14" s="23"/>
      <c r="AB14" s="23" t="s">
        <v>64</v>
      </c>
      <c r="AD14" s="19" t="s">
        <v>182</v>
      </c>
      <c r="AE14" s="1" t="str">
        <f t="shared" si="7"/>
        <v>東京都新宿区西新宿7丁目1-12　 Crossoffice新宿705</v>
      </c>
      <c r="AF14" s="1" t="s">
        <v>184</v>
      </c>
      <c r="AG14" s="1" t="s">
        <v>183</v>
      </c>
      <c r="AH14" s="1"/>
      <c r="AI14" s="1" t="str">
        <f t="shared" si="8"/>
        <v> </v>
      </c>
      <c r="AJ14" s="1" t="s">
        <v>91</v>
      </c>
      <c r="AK14" s="26" t="s">
        <v>67</v>
      </c>
      <c r="AL14" s="26">
        <v>1</v>
      </c>
      <c r="AM14" s="19" t="str">
        <f ca="1" t="shared" si="10"/>
        <v>JCNZZZ</v>
      </c>
      <c r="AN14" s="1" t="str">
        <f ca="1" t="shared" si="9"/>
        <v>ALIBABA</v>
      </c>
      <c r="AU14" s="1"/>
      <c r="AV14" s="1"/>
      <c r="AW14" s="1" t="s">
        <v>185</v>
      </c>
      <c r="AX14" s="1" t="s">
        <v>186</v>
      </c>
      <c r="AY14" s="1" t="s">
        <v>72</v>
      </c>
      <c r="AZ14" s="1">
        <v>32.2</v>
      </c>
      <c r="BA14" s="1" t="s">
        <v>91</v>
      </c>
      <c r="BB14" s="1"/>
      <c r="BC14" s="1"/>
      <c r="BD14" s="1"/>
    </row>
    <row r="15" ht="33" customHeight="1" spans="1:56">
      <c r="A15" s="13" t="s">
        <v>53</v>
      </c>
      <c r="B15" s="14"/>
      <c r="C15" s="15" t="s">
        <v>187</v>
      </c>
      <c r="D15" s="15" t="s">
        <v>187</v>
      </c>
      <c r="E15" s="1">
        <v>1</v>
      </c>
      <c r="F15" s="3">
        <v>0.55</v>
      </c>
      <c r="G15" s="1" t="s">
        <v>55</v>
      </c>
      <c r="H15" s="16" t="str">
        <f t="shared" si="0"/>
        <v>SOLAR OUTDOOR LAMP</v>
      </c>
      <c r="I15" s="16" t="str">
        <f t="shared" si="1"/>
        <v>ABS</v>
      </c>
      <c r="J15" s="16" t="s">
        <v>188</v>
      </c>
      <c r="K15" s="17" t="str">
        <f t="shared" si="2"/>
        <v>生頼 悦子</v>
      </c>
      <c r="L15" s="17"/>
      <c r="M15" s="18" t="str">
        <f t="shared" si="3"/>
        <v>神奈川県横浜市青葉区黒須田31-52</v>
      </c>
      <c r="N15" s="19" t="str">
        <f t="shared" si="4"/>
        <v>神奈川県横浜市青葉区黒須田31-52</v>
      </c>
      <c r="O15" s="20" t="str">
        <f>MID(N15,MIN(IFERROR(FIND({0,1,2,3,4,5,6,7,8,9},N15),LEN(N15)+1)),LEN(N15))</f>
        <v>31-52</v>
      </c>
      <c r="P15" s="20" t="str">
        <f t="shared" si="5"/>
        <v> 31-52</v>
      </c>
      <c r="Q15" s="19" t="s">
        <v>189</v>
      </c>
      <c r="R15" s="21" t="s">
        <v>190</v>
      </c>
      <c r="S15" s="22" t="s">
        <v>59</v>
      </c>
      <c r="T15" s="22" t="s">
        <v>60</v>
      </c>
      <c r="U15" s="23" t="s">
        <v>61</v>
      </c>
      <c r="V15" s="23" t="s">
        <v>62</v>
      </c>
      <c r="W15" s="24"/>
      <c r="X15" s="25">
        <f t="shared" si="6"/>
        <v>8</v>
      </c>
      <c r="Y15" s="23" t="s">
        <v>63</v>
      </c>
      <c r="Z15" s="23" t="s">
        <v>62</v>
      </c>
      <c r="AA15" s="23"/>
      <c r="AB15" s="23" t="s">
        <v>64</v>
      </c>
      <c r="AD15" s="19" t="s">
        <v>188</v>
      </c>
      <c r="AE15" s="1" t="str">
        <f t="shared" si="7"/>
        <v>神奈川県横浜市青葉区黒須田31-52</v>
      </c>
      <c r="AF15" s="1" t="s">
        <v>190</v>
      </c>
      <c r="AG15" s="1" t="s">
        <v>189</v>
      </c>
      <c r="AH15" s="1" t="s">
        <v>191</v>
      </c>
      <c r="AI15" s="1" t="str">
        <f t="shared" si="8"/>
        <v> 大阪市西成区3丁目5番14号FDS ENISHI303</v>
      </c>
      <c r="AJ15" s="1" t="s">
        <v>192</v>
      </c>
      <c r="AK15" s="26" t="s">
        <v>67</v>
      </c>
      <c r="AL15" s="26">
        <v>1</v>
      </c>
      <c r="AM15" s="19" t="str">
        <f ca="1" t="shared" si="10"/>
        <v>JCNZZZ</v>
      </c>
      <c r="AN15" s="1" t="str">
        <f ca="1" t="shared" si="9"/>
        <v>JinDdong</v>
      </c>
      <c r="AU15" s="1" t="s">
        <v>101</v>
      </c>
      <c r="AV15" s="1" t="s">
        <v>102</v>
      </c>
      <c r="AW15" s="1" t="s">
        <v>193</v>
      </c>
      <c r="AX15" s="1" t="s">
        <v>194</v>
      </c>
      <c r="AY15" s="1" t="s">
        <v>72</v>
      </c>
      <c r="AZ15" s="1">
        <v>8</v>
      </c>
      <c r="BA15" s="1" t="s">
        <v>195</v>
      </c>
      <c r="BB15" s="1"/>
      <c r="BC15" s="1"/>
      <c r="BD15" s="1"/>
    </row>
    <row r="16" ht="33" customHeight="1" spans="1:56">
      <c r="A16" s="13" t="s">
        <v>53</v>
      </c>
      <c r="B16" s="14"/>
      <c r="C16" s="15" t="s">
        <v>196</v>
      </c>
      <c r="D16" s="15" t="s">
        <v>196</v>
      </c>
      <c r="E16" s="1">
        <v>1</v>
      </c>
      <c r="F16" s="3">
        <v>3.75</v>
      </c>
      <c r="G16" s="1" t="s">
        <v>55</v>
      </c>
      <c r="H16" s="16" t="str">
        <f t="shared" si="0"/>
        <v>ARMREST BOX</v>
      </c>
      <c r="I16" s="16" t="str">
        <f t="shared" si="1"/>
        <v>PLASTIC</v>
      </c>
      <c r="J16" s="16" t="s">
        <v>197</v>
      </c>
      <c r="K16" s="17" t="str">
        <f t="shared" si="2"/>
        <v>片岡 優介</v>
      </c>
      <c r="L16" s="17"/>
      <c r="M16" s="18" t="str">
        <f t="shared" si="3"/>
        <v>静岡県島田市大代1649番地の1</v>
      </c>
      <c r="N16" s="19" t="str">
        <f t="shared" si="4"/>
        <v>静岡県島田市大代1649番地の1</v>
      </c>
      <c r="O16" s="20" t="str">
        <f>MID(N16,MIN(IFERROR(FIND({0,1,2,3,4,5,6,7,8,9},N16),LEN(N16)+1)),LEN(N16))</f>
        <v>1649番地の1</v>
      </c>
      <c r="P16" s="20" t="str">
        <f t="shared" si="5"/>
        <v> 1649番地の1</v>
      </c>
      <c r="Q16" s="19" t="s">
        <v>198</v>
      </c>
      <c r="R16" s="21" t="s">
        <v>199</v>
      </c>
      <c r="S16" s="22" t="s">
        <v>59</v>
      </c>
      <c r="T16" s="22" t="s">
        <v>60</v>
      </c>
      <c r="U16" s="23" t="s">
        <v>61</v>
      </c>
      <c r="V16" s="23" t="s">
        <v>62</v>
      </c>
      <c r="W16" s="24"/>
      <c r="X16" s="25">
        <f t="shared" si="6"/>
        <v>40</v>
      </c>
      <c r="Y16" s="23" t="s">
        <v>63</v>
      </c>
      <c r="Z16" s="23" t="s">
        <v>62</v>
      </c>
      <c r="AA16" s="23"/>
      <c r="AB16" s="23" t="s">
        <v>64</v>
      </c>
      <c r="AD16" s="19" t="s">
        <v>197</v>
      </c>
      <c r="AE16" s="1" t="str">
        <f t="shared" si="7"/>
        <v>静岡県島田市大代1649番地の1</v>
      </c>
      <c r="AF16" s="1" t="s">
        <v>199</v>
      </c>
      <c r="AG16" s="1" t="s">
        <v>198</v>
      </c>
      <c r="AH16" s="1" t="s">
        <v>86</v>
      </c>
      <c r="AI16" s="1" t="str">
        <f t="shared" si="8"/>
        <v>大阪府堺市 中百舌鳥町6丁目１００１-5盲亀浮木の店</v>
      </c>
      <c r="AJ16" s="1" t="s">
        <v>200</v>
      </c>
      <c r="AK16" s="26" t="s">
        <v>67</v>
      </c>
      <c r="AL16" s="26">
        <v>1</v>
      </c>
      <c r="AM16" s="19" t="str">
        <f ca="1" t="shared" si="10"/>
        <v>JCNZZZ</v>
      </c>
      <c r="AN16" s="1" t="str">
        <f ca="1" t="shared" si="9"/>
        <v>JinDdong</v>
      </c>
      <c r="AU16" s="1" t="s">
        <v>201</v>
      </c>
      <c r="AV16" s="1" t="s">
        <v>202</v>
      </c>
      <c r="AW16" s="1" t="s">
        <v>203</v>
      </c>
      <c r="AX16" s="1" t="s">
        <v>204</v>
      </c>
      <c r="AY16" s="1" t="s">
        <v>94</v>
      </c>
      <c r="AZ16" s="1">
        <v>40</v>
      </c>
      <c r="BA16" s="1" t="s">
        <v>205</v>
      </c>
      <c r="BB16" s="1" t="s">
        <v>206</v>
      </c>
      <c r="BC16" s="1" t="s">
        <v>207</v>
      </c>
      <c r="BD16" s="1" t="s">
        <v>86</v>
      </c>
    </row>
    <row r="17" ht="33" customHeight="1" spans="1:56">
      <c r="A17" s="13" t="s">
        <v>53</v>
      </c>
      <c r="B17" s="14"/>
      <c r="C17" s="15" t="s">
        <v>208</v>
      </c>
      <c r="D17" s="15" t="s">
        <v>208</v>
      </c>
      <c r="E17" s="1">
        <v>1</v>
      </c>
      <c r="F17" s="3">
        <v>0.45</v>
      </c>
      <c r="G17" s="1" t="s">
        <v>55</v>
      </c>
      <c r="H17" s="16" t="str">
        <f t="shared" si="0"/>
        <v>CUP</v>
      </c>
      <c r="I17" s="16" t="str">
        <f t="shared" si="1"/>
        <v>GLASS</v>
      </c>
      <c r="J17" s="16" t="s">
        <v>209</v>
      </c>
      <c r="K17" s="17" t="str">
        <f t="shared" si="2"/>
        <v>八木 和佳</v>
      </c>
      <c r="L17" s="17"/>
      <c r="M17" s="18" t="str">
        <f t="shared" si="3"/>
        <v>群馬県太田市09081116263新田下田中町373-1 東亜工業株式会社 住宅事業部 業務部 業務課 八木和佳宛</v>
      </c>
      <c r="N17" s="19" t="str">
        <f t="shared" si="4"/>
        <v>群馬県太田市09081116263新田下田中町373-1 東亜工業株式会社 住宅事業部 業務部 業務課 八木和佳宛</v>
      </c>
      <c r="O17" s="20" t="str">
        <f>MID(N17,MIN(IFERROR(FIND({0,1,2,3,4,5,6,7,8,9},N17),LEN(N17)+1)),LEN(N17))</f>
        <v>09081116263新田下田中町373-1 東亜工業株式会社 住宅事業部 業務部 業務課 八木和佳宛</v>
      </c>
      <c r="P17" s="20" t="str">
        <f t="shared" si="5"/>
        <v> 09081116263新田下田中町373-1 東亜工業株式会社 住宅事業部 業務部 業務課 八木和佳宛</v>
      </c>
      <c r="Q17" s="19" t="s">
        <v>210</v>
      </c>
      <c r="R17" s="21" t="s">
        <v>211</v>
      </c>
      <c r="S17" s="22" t="s">
        <v>59</v>
      </c>
      <c r="T17" s="22" t="s">
        <v>60</v>
      </c>
      <c r="U17" s="23" t="s">
        <v>61</v>
      </c>
      <c r="V17" s="23" t="s">
        <v>62</v>
      </c>
      <c r="W17" s="24"/>
      <c r="X17" s="25">
        <f t="shared" si="6"/>
        <v>15</v>
      </c>
      <c r="Y17" s="23" t="s">
        <v>63</v>
      </c>
      <c r="Z17" s="23" t="s">
        <v>62</v>
      </c>
      <c r="AA17" s="23"/>
      <c r="AB17" s="23" t="s">
        <v>64</v>
      </c>
      <c r="AD17" s="19" t="s">
        <v>209</v>
      </c>
      <c r="AE17" s="1" t="str">
        <f t="shared" si="7"/>
        <v>群馬県太田市09081116263新田下田中町373-1 東亜工業株式会社 住宅事業部 業務部 業務課 八木和佳宛</v>
      </c>
      <c r="AF17" s="1" t="s">
        <v>211</v>
      </c>
      <c r="AG17" s="1" t="s">
        <v>210</v>
      </c>
      <c r="AH17" s="1" t="s">
        <v>113</v>
      </c>
      <c r="AI17" s="1" t="str">
        <f t="shared" si="8"/>
        <v> 東京都大田区上池台３－２４－１４スターハイツ洗足池２　２０２</v>
      </c>
      <c r="AJ17" s="1" t="s">
        <v>114</v>
      </c>
      <c r="AK17" s="26" t="s">
        <v>67</v>
      </c>
      <c r="AL17" s="26">
        <v>1</v>
      </c>
      <c r="AM17" s="19" t="str">
        <f ca="1" t="shared" si="10"/>
        <v>PJP001</v>
      </c>
      <c r="AN17" s="1" t="str">
        <f ca="1" t="shared" si="9"/>
        <v/>
      </c>
      <c r="AU17" s="1" t="s">
        <v>212</v>
      </c>
      <c r="AV17" s="1" t="s">
        <v>213</v>
      </c>
      <c r="AW17" s="1" t="s">
        <v>214</v>
      </c>
      <c r="AX17" s="1" t="s">
        <v>215</v>
      </c>
      <c r="AY17" s="1" t="s">
        <v>216</v>
      </c>
      <c r="AZ17" s="1">
        <v>15</v>
      </c>
      <c r="BA17" s="1" t="s">
        <v>120</v>
      </c>
      <c r="BB17" s="1"/>
      <c r="BC17" s="1"/>
      <c r="BD17" s="1"/>
    </row>
    <row r="18" ht="33" customHeight="1" spans="1:56">
      <c r="A18" s="13" t="s">
        <v>53</v>
      </c>
      <c r="B18" s="14"/>
      <c r="C18" s="15" t="s">
        <v>217</v>
      </c>
      <c r="D18" s="15" t="s">
        <v>217</v>
      </c>
      <c r="E18" s="1">
        <v>1</v>
      </c>
      <c r="F18" s="3">
        <v>0.25</v>
      </c>
      <c r="G18" s="1" t="s">
        <v>55</v>
      </c>
      <c r="H18" s="16" t="str">
        <f t="shared" si="0"/>
        <v>BAKING MOLD</v>
      </c>
      <c r="I18" s="16" t="str">
        <f t="shared" si="1"/>
        <v>STAINLESS STEEL</v>
      </c>
      <c r="J18" s="16" t="s">
        <v>218</v>
      </c>
      <c r="K18" s="17" t="str">
        <f t="shared" si="2"/>
        <v>大倉 美紅</v>
      </c>
      <c r="L18" s="17"/>
      <c r="M18" s="18" t="str">
        <f t="shared" si="3"/>
        <v>広島県東広島市西条町御薗宇5288-1 ロンディネA204</v>
      </c>
      <c r="N18" s="19" t="str">
        <f t="shared" si="4"/>
        <v>広島県東広島市西条町御薗宇5288-1 ロンディネA204</v>
      </c>
      <c r="O18" s="20" t="str">
        <f>MID(N18,MIN(IFERROR(FIND({0,1,2,3,4,5,6,7,8,9},N18),LEN(N18)+1)),LEN(N18))</f>
        <v>5288-1 ロンディネA204</v>
      </c>
      <c r="P18" s="20" t="str">
        <f t="shared" si="5"/>
        <v> 5288-1 ロンディネA204</v>
      </c>
      <c r="Q18" s="19" t="s">
        <v>219</v>
      </c>
      <c r="R18" s="21" t="s">
        <v>220</v>
      </c>
      <c r="S18" s="22" t="s">
        <v>59</v>
      </c>
      <c r="T18" s="22" t="s">
        <v>60</v>
      </c>
      <c r="U18" s="23" t="s">
        <v>61</v>
      </c>
      <c r="V18" s="23" t="s">
        <v>62</v>
      </c>
      <c r="W18" s="24"/>
      <c r="X18" s="25">
        <f t="shared" si="6"/>
        <v>17</v>
      </c>
      <c r="Y18" s="23" t="s">
        <v>63</v>
      </c>
      <c r="Z18" s="23" t="s">
        <v>62</v>
      </c>
      <c r="AA18" s="23"/>
      <c r="AB18" s="23" t="s">
        <v>64</v>
      </c>
      <c r="AD18" s="19" t="s">
        <v>218</v>
      </c>
      <c r="AE18" s="1" t="str">
        <f t="shared" si="7"/>
        <v>広島県東広島市西条町御薗宇5288-1 ロンディネA204</v>
      </c>
      <c r="AF18" s="1" t="s">
        <v>220</v>
      </c>
      <c r="AG18" s="1" t="s">
        <v>219</v>
      </c>
      <c r="AH18" s="1" t="s">
        <v>125</v>
      </c>
      <c r="AI18" s="1" t="str">
        <f t="shared" si="8"/>
        <v> 滋賀県甲賀市甲南町野尻558</v>
      </c>
      <c r="AJ18" s="1" t="s">
        <v>126</v>
      </c>
      <c r="AK18" s="26" t="s">
        <v>67</v>
      </c>
      <c r="AL18" s="26">
        <v>1</v>
      </c>
      <c r="AM18" s="19" t="str">
        <f ca="1" t="shared" si="10"/>
        <v>PJP001</v>
      </c>
      <c r="AN18" s="1" t="str">
        <f ca="1" t="shared" si="9"/>
        <v/>
      </c>
      <c r="AU18" s="1" t="s">
        <v>221</v>
      </c>
      <c r="AV18" s="1" t="s">
        <v>222</v>
      </c>
      <c r="AW18" s="1" t="s">
        <v>223</v>
      </c>
      <c r="AX18" s="1" t="s">
        <v>224</v>
      </c>
      <c r="AY18" s="1" t="s">
        <v>225</v>
      </c>
      <c r="AZ18" s="1">
        <v>17</v>
      </c>
      <c r="BA18" s="1" t="s">
        <v>132</v>
      </c>
      <c r="BB18" s="1"/>
      <c r="BC18" s="1"/>
      <c r="BD18" s="1"/>
    </row>
    <row r="19" ht="33" customHeight="1" spans="1:56">
      <c r="A19" s="13" t="s">
        <v>53</v>
      </c>
      <c r="B19" s="14"/>
      <c r="C19" s="15" t="s">
        <v>226</v>
      </c>
      <c r="D19" s="15" t="s">
        <v>226</v>
      </c>
      <c r="E19" s="1">
        <v>1</v>
      </c>
      <c r="F19" s="3">
        <v>0.67</v>
      </c>
      <c r="G19" s="1" t="s">
        <v>55</v>
      </c>
      <c r="H19" s="16" t="str">
        <f t="shared" si="0"/>
        <v>CLEANING SUPPLIES</v>
      </c>
      <c r="I19" s="16" t="str">
        <f t="shared" si="1"/>
        <v>PC</v>
      </c>
      <c r="J19" s="16" t="s">
        <v>227</v>
      </c>
      <c r="K19" s="17" t="str">
        <f t="shared" si="2"/>
        <v>松谷 史子</v>
      </c>
      <c r="L19" s="17"/>
      <c r="M19" s="18" t="str">
        <f t="shared" si="3"/>
        <v>北海道札幌市中央区南十四条西18丁目5-27 グランエスセーナ701</v>
      </c>
      <c r="N19" s="19" t="str">
        <f t="shared" si="4"/>
        <v>北海道札幌市中央区南十四条西18丁目5-27 グランエスセーナ701</v>
      </c>
      <c r="O19" s="20" t="str">
        <f>MID(N19,MIN(IFERROR(FIND({0,1,2,3,4,5,6,7,8,9},N19),LEN(N19)+1)),LEN(N19))</f>
        <v>18丁目5-27 グランエスセーナ701</v>
      </c>
      <c r="P19" s="20" t="str">
        <f t="shared" si="5"/>
        <v> 18丁目5-27 グランエスセーナ701</v>
      </c>
      <c r="Q19" s="19" t="s">
        <v>228</v>
      </c>
      <c r="R19" s="21" t="s">
        <v>229</v>
      </c>
      <c r="S19" s="22" t="s">
        <v>59</v>
      </c>
      <c r="T19" s="22" t="s">
        <v>60</v>
      </c>
      <c r="U19" s="23" t="s">
        <v>61</v>
      </c>
      <c r="V19" s="23" t="s">
        <v>62</v>
      </c>
      <c r="W19" s="24"/>
      <c r="X19" s="25">
        <f t="shared" si="6"/>
        <v>14</v>
      </c>
      <c r="Y19" s="23" t="s">
        <v>63</v>
      </c>
      <c r="Z19" s="23" t="s">
        <v>62</v>
      </c>
      <c r="AA19" s="23"/>
      <c r="AB19" s="23" t="s">
        <v>64</v>
      </c>
      <c r="AD19" s="19" t="s">
        <v>227</v>
      </c>
      <c r="AE19" s="1" t="str">
        <f t="shared" si="7"/>
        <v>北海道札幌市中央区南十四条西18丁目5-27 グランエスセーナ701</v>
      </c>
      <c r="AF19" s="1" t="s">
        <v>229</v>
      </c>
      <c r="AG19" s="1" t="s">
        <v>228</v>
      </c>
      <c r="AH19" s="1" t="s">
        <v>230</v>
      </c>
      <c r="AI19" s="1" t="str">
        <f t="shared" si="8"/>
        <v> 大阪府大阪市中央区安堂寺町2-1-3-901</v>
      </c>
      <c r="AJ19" s="1" t="s">
        <v>231</v>
      </c>
      <c r="AK19" s="26" t="s">
        <v>67</v>
      </c>
      <c r="AL19" s="26">
        <v>1</v>
      </c>
      <c r="AM19" s="19" t="str">
        <f ca="1" t="shared" si="10"/>
        <v>JCNZZZ</v>
      </c>
      <c r="AN19" s="1" t="str">
        <f ca="1" t="shared" si="9"/>
        <v>JinDdong</v>
      </c>
      <c r="AU19" s="1" t="s">
        <v>115</v>
      </c>
      <c r="AV19" s="1" t="s">
        <v>232</v>
      </c>
      <c r="AW19" s="1" t="s">
        <v>233</v>
      </c>
      <c r="AX19" s="1" t="s">
        <v>234</v>
      </c>
      <c r="AY19" s="1" t="s">
        <v>235</v>
      </c>
      <c r="AZ19" s="1">
        <v>14</v>
      </c>
      <c r="BA19" s="1" t="s">
        <v>236</v>
      </c>
      <c r="BB19" s="1"/>
      <c r="BC19" s="1"/>
      <c r="BD19" s="1"/>
    </row>
    <row r="20" ht="33" customHeight="1" spans="1:56">
      <c r="A20" s="13" t="s">
        <v>53</v>
      </c>
      <c r="B20" s="14"/>
      <c r="C20" s="15" t="s">
        <v>237</v>
      </c>
      <c r="D20" s="15" t="s">
        <v>237</v>
      </c>
      <c r="E20" s="1">
        <v>1</v>
      </c>
      <c r="F20" s="3">
        <v>0.15</v>
      </c>
      <c r="G20" s="1" t="s">
        <v>55</v>
      </c>
      <c r="H20" s="16" t="str">
        <f t="shared" si="0"/>
        <v>PET ANTI-SCRATCH SPRAY</v>
      </c>
      <c r="I20" s="16" t="str">
        <f t="shared" si="1"/>
        <v>PLASTIC</v>
      </c>
      <c r="J20" s="16" t="s">
        <v>238</v>
      </c>
      <c r="K20" s="17" t="str">
        <f t="shared" si="2"/>
        <v>奥山 学</v>
      </c>
      <c r="L20" s="17"/>
      <c r="M20" s="18" t="str">
        <f t="shared" si="3"/>
        <v>秋田県秋田市桜ガ丘3丁目7-15</v>
      </c>
      <c r="N20" s="19" t="str">
        <f t="shared" si="4"/>
        <v>秋田県秋田市桜ガ丘3丁目7-15</v>
      </c>
      <c r="O20" s="20" t="str">
        <f>MID(N20,MIN(IFERROR(FIND({0,1,2,3,4,5,6,7,8,9},N20),LEN(N20)+1)),LEN(N20))</f>
        <v>3丁目7-15</v>
      </c>
      <c r="P20" s="20" t="str">
        <f t="shared" si="5"/>
        <v> 3丁目7-15</v>
      </c>
      <c r="Q20" s="19" t="s">
        <v>239</v>
      </c>
      <c r="R20" s="21" t="s">
        <v>240</v>
      </c>
      <c r="S20" s="22" t="s">
        <v>59</v>
      </c>
      <c r="T20" s="22" t="s">
        <v>60</v>
      </c>
      <c r="U20" s="23" t="s">
        <v>61</v>
      </c>
      <c r="V20" s="23" t="s">
        <v>62</v>
      </c>
      <c r="W20" s="24"/>
      <c r="X20" s="25">
        <f t="shared" si="6"/>
        <v>15</v>
      </c>
      <c r="Y20" s="23" t="s">
        <v>63</v>
      </c>
      <c r="Z20" s="23" t="s">
        <v>62</v>
      </c>
      <c r="AA20" s="23"/>
      <c r="AB20" s="23" t="s">
        <v>64</v>
      </c>
      <c r="AD20" s="19" t="s">
        <v>238</v>
      </c>
      <c r="AE20" s="1" t="str">
        <f t="shared" si="7"/>
        <v>秋田県秋田市桜ガ丘3丁目7-15</v>
      </c>
      <c r="AF20" s="1" t="s">
        <v>240</v>
      </c>
      <c r="AG20" s="1" t="s">
        <v>239</v>
      </c>
      <c r="AH20" s="1" t="s">
        <v>241</v>
      </c>
      <c r="AI20" s="1" t="str">
        <f t="shared" si="8"/>
        <v> 山形県山形市上町２－９－５</v>
      </c>
      <c r="AJ20" s="1" t="s">
        <v>126</v>
      </c>
      <c r="AK20" s="26" t="s">
        <v>67</v>
      </c>
      <c r="AL20" s="26">
        <v>1</v>
      </c>
      <c r="AM20" s="19" t="str">
        <f ca="1" t="shared" si="10"/>
        <v>JCNZZZ</v>
      </c>
      <c r="AN20" s="1" t="str">
        <f ca="1" t="shared" si="9"/>
        <v>TAOBAO0</v>
      </c>
      <c r="AU20" s="1" t="s">
        <v>242</v>
      </c>
      <c r="AV20" s="1" t="s">
        <v>243</v>
      </c>
      <c r="AW20" s="1" t="s">
        <v>244</v>
      </c>
      <c r="AX20" s="1" t="s">
        <v>245</v>
      </c>
      <c r="AY20" s="1" t="s">
        <v>94</v>
      </c>
      <c r="AZ20" s="1">
        <v>15</v>
      </c>
      <c r="BA20" s="1" t="s">
        <v>246</v>
      </c>
      <c r="BB20" s="1"/>
      <c r="BC20" s="1"/>
      <c r="BD20" s="1"/>
    </row>
    <row r="21" ht="33" customHeight="1" spans="1:56">
      <c r="A21" s="13" t="s">
        <v>53</v>
      </c>
      <c r="B21" s="14"/>
      <c r="C21" s="15" t="s">
        <v>247</v>
      </c>
      <c r="D21" s="15" t="s">
        <v>247</v>
      </c>
      <c r="E21" s="1">
        <v>1</v>
      </c>
      <c r="F21" s="3">
        <v>2.49</v>
      </c>
      <c r="G21" s="1" t="s">
        <v>55</v>
      </c>
      <c r="H21" s="16" t="str">
        <f t="shared" si="0"/>
        <v>TOYS</v>
      </c>
      <c r="I21" s="16" t="str">
        <f t="shared" si="1"/>
        <v>PLASTICS</v>
      </c>
      <c r="J21" s="16" t="s">
        <v>248</v>
      </c>
      <c r="K21" s="17" t="str">
        <f t="shared" si="2"/>
        <v>戸高 太輔</v>
      </c>
      <c r="L21" s="17"/>
      <c r="M21" s="18" t="str">
        <f t="shared" si="3"/>
        <v>静岡県浜松市中央区雄踏1丁目7-20</v>
      </c>
      <c r="N21" s="19" t="str">
        <f t="shared" si="4"/>
        <v>静岡県浜松市中央区雄踏1丁目7-20</v>
      </c>
      <c r="O21" s="20" t="str">
        <f>MID(N21,MIN(IFERROR(FIND({0,1,2,3,4,5,6,7,8,9},N21),LEN(N21)+1)),LEN(N21))</f>
        <v>1丁目7-20</v>
      </c>
      <c r="P21" s="20" t="str">
        <f t="shared" si="5"/>
        <v> 1丁目7-20</v>
      </c>
      <c r="Q21" s="19" t="s">
        <v>249</v>
      </c>
      <c r="R21" s="21" t="s">
        <v>250</v>
      </c>
      <c r="S21" s="22" t="s">
        <v>59</v>
      </c>
      <c r="T21" s="22" t="s">
        <v>60</v>
      </c>
      <c r="U21" s="23" t="s">
        <v>61</v>
      </c>
      <c r="V21" s="23" t="s">
        <v>62</v>
      </c>
      <c r="W21" s="24"/>
      <c r="X21" s="25">
        <f t="shared" si="6"/>
        <v>15</v>
      </c>
      <c r="Y21" s="23" t="s">
        <v>63</v>
      </c>
      <c r="Z21" s="23" t="s">
        <v>62</v>
      </c>
      <c r="AA21" s="23"/>
      <c r="AB21" s="23" t="s">
        <v>64</v>
      </c>
      <c r="AD21" s="19" t="s">
        <v>248</v>
      </c>
      <c r="AE21" s="1" t="str">
        <f t="shared" si="7"/>
        <v>静岡県浜松市中央区雄踏1丁目7-20</v>
      </c>
      <c r="AF21" s="1" t="s">
        <v>250</v>
      </c>
      <c r="AG21" s="1" t="s">
        <v>249</v>
      </c>
      <c r="AH21" s="1" t="s">
        <v>125</v>
      </c>
      <c r="AI21" s="1" t="str">
        <f t="shared" si="8"/>
        <v> 滋賀県甲賀市甲南町野尻558</v>
      </c>
      <c r="AJ21" s="1" t="s">
        <v>126</v>
      </c>
      <c r="AK21" s="26" t="s">
        <v>67</v>
      </c>
      <c r="AL21" s="26">
        <v>1</v>
      </c>
      <c r="AM21" s="19" t="str">
        <f ca="1" t="shared" si="10"/>
        <v>PJP001</v>
      </c>
      <c r="AN21" s="1" t="str">
        <f ca="1" t="shared" si="9"/>
        <v/>
      </c>
      <c r="AU21" s="1" t="s">
        <v>201</v>
      </c>
      <c r="AV21" s="1" t="s">
        <v>251</v>
      </c>
      <c r="AW21" s="1" t="s">
        <v>252</v>
      </c>
      <c r="AX21" s="1" t="s">
        <v>253</v>
      </c>
      <c r="AY21" s="1" t="s">
        <v>131</v>
      </c>
      <c r="AZ21" s="1">
        <v>15</v>
      </c>
      <c r="BA21" s="1" t="s">
        <v>132</v>
      </c>
      <c r="BB21" s="1"/>
      <c r="BC21" s="1"/>
      <c r="BD21" s="1"/>
    </row>
    <row r="22" ht="33" customHeight="1" spans="1:56">
      <c r="A22" s="13" t="s">
        <v>53</v>
      </c>
      <c r="B22" s="14"/>
      <c r="C22" s="15" t="s">
        <v>254</v>
      </c>
      <c r="D22" s="15" t="s">
        <v>254</v>
      </c>
      <c r="E22" s="1">
        <v>1</v>
      </c>
      <c r="F22" s="3">
        <v>0.52</v>
      </c>
      <c r="G22" s="1" t="s">
        <v>55</v>
      </c>
      <c r="H22" s="16" t="str">
        <f t="shared" si="0"/>
        <v>BEACH TOYS</v>
      </c>
      <c r="I22" s="16" t="str">
        <f t="shared" si="1"/>
        <v>PLASTIC</v>
      </c>
      <c r="J22" s="16" t="s">
        <v>255</v>
      </c>
      <c r="K22" s="17" t="str">
        <f t="shared" si="2"/>
        <v>塩屋 歩</v>
      </c>
      <c r="L22" s="17"/>
      <c r="M22" s="18" t="str">
        <f t="shared" si="3"/>
        <v>大阪府大阪市阿倍野区松虫通2-4-4</v>
      </c>
      <c r="N22" s="19" t="str">
        <f t="shared" si="4"/>
        <v>大阪府大阪市阿倍野区松虫通2-4-4</v>
      </c>
      <c r="O22" s="20" t="str">
        <f>MID(N22,MIN(IFERROR(FIND({0,1,2,3,4,5,6,7,8,9},N22),LEN(N22)+1)),LEN(N22))</f>
        <v>2-4-4</v>
      </c>
      <c r="P22" s="20" t="str">
        <f t="shared" si="5"/>
        <v> 2-4-4</v>
      </c>
      <c r="Q22" s="19" t="s">
        <v>256</v>
      </c>
      <c r="R22" s="21" t="s">
        <v>257</v>
      </c>
      <c r="S22" s="22" t="s">
        <v>59</v>
      </c>
      <c r="T22" s="22" t="s">
        <v>60</v>
      </c>
      <c r="U22" s="23" t="s">
        <v>61</v>
      </c>
      <c r="V22" s="23" t="s">
        <v>62</v>
      </c>
      <c r="W22" s="24"/>
      <c r="X22" s="25">
        <f t="shared" si="6"/>
        <v>12</v>
      </c>
      <c r="Y22" s="23" t="s">
        <v>63</v>
      </c>
      <c r="Z22" s="23" t="s">
        <v>62</v>
      </c>
      <c r="AA22" s="23"/>
      <c r="AB22" s="23" t="s">
        <v>64</v>
      </c>
      <c r="AD22" s="19" t="s">
        <v>255</v>
      </c>
      <c r="AE22" s="1" t="str">
        <f t="shared" si="7"/>
        <v>大阪府大阪市阿倍野区松虫通2-4-4</v>
      </c>
      <c r="AF22" s="1" t="s">
        <v>257</v>
      </c>
      <c r="AG22" s="1" t="s">
        <v>256</v>
      </c>
      <c r="AH22" s="1" t="s">
        <v>125</v>
      </c>
      <c r="AI22" s="1" t="str">
        <f t="shared" si="8"/>
        <v> 滋賀県甲賀市甲南町野尻558</v>
      </c>
      <c r="AJ22" s="1" t="s">
        <v>126</v>
      </c>
      <c r="AK22" s="26" t="s">
        <v>67</v>
      </c>
      <c r="AL22" s="26">
        <v>1</v>
      </c>
      <c r="AM22" s="19" t="str">
        <f ca="1" t="shared" si="10"/>
        <v>PJP001</v>
      </c>
      <c r="AN22" s="1" t="str">
        <f ca="1" t="shared" si="9"/>
        <v/>
      </c>
      <c r="AU22" s="1" t="s">
        <v>206</v>
      </c>
      <c r="AV22" s="1" t="s">
        <v>258</v>
      </c>
      <c r="AW22" s="1" t="s">
        <v>259</v>
      </c>
      <c r="AX22" s="1" t="s">
        <v>260</v>
      </c>
      <c r="AY22" s="1" t="s">
        <v>94</v>
      </c>
      <c r="AZ22" s="1">
        <v>12</v>
      </c>
      <c r="BA22" s="1" t="s">
        <v>132</v>
      </c>
      <c r="BB22" s="1"/>
      <c r="BC22" s="1"/>
      <c r="BD22" s="1"/>
    </row>
    <row r="23" ht="33" customHeight="1" spans="1:56">
      <c r="A23" s="13" t="s">
        <v>53</v>
      </c>
      <c r="B23" s="14"/>
      <c r="C23" s="15" t="s">
        <v>261</v>
      </c>
      <c r="D23" s="15" t="s">
        <v>261</v>
      </c>
      <c r="E23" s="1">
        <v>1</v>
      </c>
      <c r="F23" s="3">
        <v>0.46</v>
      </c>
      <c r="G23" s="1" t="s">
        <v>55</v>
      </c>
      <c r="H23" s="16" t="str">
        <f t="shared" si="0"/>
        <v>CLEANING PRODUCTS</v>
      </c>
      <c r="I23" s="16" t="str">
        <f t="shared" si="1"/>
        <v>PLASTIC, SPONGE</v>
      </c>
      <c r="J23" s="16" t="s">
        <v>262</v>
      </c>
      <c r="K23" s="17" t="str">
        <f t="shared" si="2"/>
        <v>上久保 嘉裕</v>
      </c>
      <c r="L23" s="17"/>
      <c r="M23" s="18" t="str">
        <f t="shared" si="3"/>
        <v>埼玉県入間市新久936-14</v>
      </c>
      <c r="N23" s="19" t="str">
        <f t="shared" si="4"/>
        <v>埼玉県入間市新久936-14</v>
      </c>
      <c r="O23" s="20" t="str">
        <f>MID(N23,MIN(IFERROR(FIND({0,1,2,3,4,5,6,7,8,9},N23),LEN(N23)+1)),LEN(N23))</f>
        <v>936-14</v>
      </c>
      <c r="P23" s="20" t="str">
        <f t="shared" si="5"/>
        <v> 936-14</v>
      </c>
      <c r="Q23" s="19" t="s">
        <v>263</v>
      </c>
      <c r="R23" s="21" t="s">
        <v>264</v>
      </c>
      <c r="S23" s="22" t="s">
        <v>59</v>
      </c>
      <c r="T23" s="22" t="s">
        <v>60</v>
      </c>
      <c r="U23" s="23" t="s">
        <v>61</v>
      </c>
      <c r="V23" s="23" t="s">
        <v>62</v>
      </c>
      <c r="W23" s="24"/>
      <c r="X23" s="25">
        <f t="shared" si="6"/>
        <v>12</v>
      </c>
      <c r="Y23" s="23" t="s">
        <v>63</v>
      </c>
      <c r="Z23" s="23" t="s">
        <v>62</v>
      </c>
      <c r="AA23" s="23"/>
      <c r="AB23" s="23" t="s">
        <v>64</v>
      </c>
      <c r="AD23" s="19" t="s">
        <v>262</v>
      </c>
      <c r="AE23" s="1" t="str">
        <f t="shared" si="7"/>
        <v>埼玉県入間市新久936-14</v>
      </c>
      <c r="AF23" s="1" t="s">
        <v>264</v>
      </c>
      <c r="AG23" s="1" t="s">
        <v>263</v>
      </c>
      <c r="AH23" s="1" t="s">
        <v>241</v>
      </c>
      <c r="AI23" s="1" t="str">
        <f t="shared" si="8"/>
        <v> 山形県山形市上町２－９－５</v>
      </c>
      <c r="AJ23" s="1" t="s">
        <v>126</v>
      </c>
      <c r="AK23" s="26" t="s">
        <v>67</v>
      </c>
      <c r="AL23" s="26">
        <v>1</v>
      </c>
      <c r="AM23" s="19" t="str">
        <f ca="1" t="shared" si="10"/>
        <v>JCNZZZ</v>
      </c>
      <c r="AN23" s="1" t="str">
        <f ca="1" t="shared" si="9"/>
        <v>ALIBABA</v>
      </c>
      <c r="AU23" s="1" t="s">
        <v>265</v>
      </c>
      <c r="AV23" s="1" t="s">
        <v>266</v>
      </c>
      <c r="AW23" s="1" t="s">
        <v>267</v>
      </c>
      <c r="AX23" s="1" t="s">
        <v>268</v>
      </c>
      <c r="AY23" s="1" t="s">
        <v>269</v>
      </c>
      <c r="AZ23" s="1">
        <v>12</v>
      </c>
      <c r="BA23" s="1" t="s">
        <v>246</v>
      </c>
      <c r="BB23" s="1"/>
      <c r="BC23" s="1"/>
      <c r="BD23" s="1"/>
    </row>
    <row r="24" ht="33" customHeight="1" spans="1:56">
      <c r="A24" s="13" t="s">
        <v>53</v>
      </c>
      <c r="B24" s="14"/>
      <c r="C24" s="15" t="s">
        <v>270</v>
      </c>
      <c r="D24" s="15" t="s">
        <v>270</v>
      </c>
      <c r="E24" s="1">
        <v>1</v>
      </c>
      <c r="F24" s="3">
        <v>0.29</v>
      </c>
      <c r="G24" s="1" t="s">
        <v>55</v>
      </c>
      <c r="H24" s="16" t="str">
        <f t="shared" si="0"/>
        <v>CHRISTMAS HAT</v>
      </c>
      <c r="I24" s="16" t="str">
        <f t="shared" si="1"/>
        <v>POLYESTER</v>
      </c>
      <c r="J24" s="16" t="s">
        <v>271</v>
      </c>
      <c r="K24" s="17" t="str">
        <f t="shared" si="2"/>
        <v>山崎 亜矢子</v>
      </c>
      <c r="L24" s="17"/>
      <c r="M24" s="18" t="str">
        <f t="shared" si="3"/>
        <v>北海道標津郡中標津町東21条南9丁目10番地17</v>
      </c>
      <c r="N24" s="19" t="str">
        <f t="shared" si="4"/>
        <v>北海道標津郡中標津町東21条南9丁目10番地17</v>
      </c>
      <c r="O24" s="20" t="str">
        <f>MID(N24,MIN(IFERROR(FIND({0,1,2,3,4,5,6,7,8,9},N24),LEN(N24)+1)),LEN(N24))</f>
        <v>21条南9丁目10番地17</v>
      </c>
      <c r="P24" s="20" t="str">
        <f t="shared" si="5"/>
        <v> 21条南9丁目10番地17</v>
      </c>
      <c r="Q24" s="19" t="s">
        <v>272</v>
      </c>
      <c r="R24" s="21" t="s">
        <v>273</v>
      </c>
      <c r="S24" s="22" t="s">
        <v>59</v>
      </c>
      <c r="T24" s="22" t="s">
        <v>60</v>
      </c>
      <c r="U24" s="23" t="s">
        <v>61</v>
      </c>
      <c r="V24" s="23" t="s">
        <v>62</v>
      </c>
      <c r="W24" s="24"/>
      <c r="X24" s="25">
        <f t="shared" si="6"/>
        <v>12</v>
      </c>
      <c r="Y24" s="23" t="s">
        <v>63</v>
      </c>
      <c r="Z24" s="23" t="s">
        <v>62</v>
      </c>
      <c r="AA24" s="23"/>
      <c r="AB24" s="23" t="s">
        <v>64</v>
      </c>
      <c r="AD24" s="19" t="s">
        <v>271</v>
      </c>
      <c r="AE24" s="1" t="str">
        <f t="shared" si="7"/>
        <v>北海道標津郡中標津町東21条南9丁目10番地17</v>
      </c>
      <c r="AF24" s="1" t="s">
        <v>273</v>
      </c>
      <c r="AG24" s="1" t="s">
        <v>272</v>
      </c>
      <c r="AH24" s="1" t="s">
        <v>274</v>
      </c>
      <c r="AI24" s="1" t="str">
        <f t="shared" si="8"/>
        <v> 東京都西多摩郡奥多摩町留浦１０１８</v>
      </c>
      <c r="AJ24" s="1" t="s">
        <v>275</v>
      </c>
      <c r="AK24" s="26" t="s">
        <v>67</v>
      </c>
      <c r="AL24" s="26">
        <v>1</v>
      </c>
      <c r="AM24" s="19" t="str">
        <f ca="1" t="shared" si="10"/>
        <v>JCNZZZ</v>
      </c>
      <c r="AN24" s="1" t="str">
        <f ca="1" t="shared" si="9"/>
        <v>ALIBABA</v>
      </c>
      <c r="AU24" s="1" t="s">
        <v>115</v>
      </c>
      <c r="AV24" s="1" t="s">
        <v>276</v>
      </c>
      <c r="AW24" s="1" t="s">
        <v>277</v>
      </c>
      <c r="AX24" s="1" t="s">
        <v>278</v>
      </c>
      <c r="AY24" s="1" t="s">
        <v>279</v>
      </c>
      <c r="AZ24" s="1">
        <v>12</v>
      </c>
      <c r="BA24" s="1" t="s">
        <v>280</v>
      </c>
      <c r="BB24" s="1"/>
      <c r="BC24" s="1"/>
      <c r="BD24" s="1"/>
    </row>
    <row r="25" ht="33" customHeight="1" spans="1:56">
      <c r="A25" s="13" t="s">
        <v>53</v>
      </c>
      <c r="B25" s="14"/>
      <c r="C25" s="15" t="s">
        <v>281</v>
      </c>
      <c r="D25" s="15" t="s">
        <v>281</v>
      </c>
      <c r="E25" s="1">
        <v>1</v>
      </c>
      <c r="F25" s="3">
        <v>1.28</v>
      </c>
      <c r="G25" s="1" t="s">
        <v>55</v>
      </c>
      <c r="H25" s="16" t="str">
        <f t="shared" si="0"/>
        <v>STORAGE TRAY</v>
      </c>
      <c r="I25" s="16" t="str">
        <f t="shared" si="1"/>
        <v>STAINLESS STEEL</v>
      </c>
      <c r="J25" s="16" t="s">
        <v>282</v>
      </c>
      <c r="K25" s="17" t="str">
        <f t="shared" si="2"/>
        <v>梶原</v>
      </c>
      <c r="L25" s="17"/>
      <c r="M25" s="18" t="str">
        <f t="shared" si="3"/>
        <v>北海道札幌市中央区南二条西6-5-3住友狸小路プラザハウス1階せいす</v>
      </c>
      <c r="N25" s="19" t="str">
        <f t="shared" si="4"/>
        <v>北海道札幌市中央区南二条西6-5-3住友狸小路プラザハウス1階せいす</v>
      </c>
      <c r="O25" s="20" t="str">
        <f>MID(N25,MIN(IFERROR(FIND({0,1,2,3,4,5,6,7,8,9},N25),LEN(N25)+1)),LEN(N25))</f>
        <v>6-5-3住友狸小路プラザハウス1階せいす</v>
      </c>
      <c r="P25" s="20" t="str">
        <f t="shared" si="5"/>
        <v> 6-5-3住友狸小路プラザハウス1階せいす</v>
      </c>
      <c r="Q25" s="19" t="s">
        <v>283</v>
      </c>
      <c r="R25" s="21" t="s">
        <v>284</v>
      </c>
      <c r="S25" s="22" t="s">
        <v>59</v>
      </c>
      <c r="T25" s="22" t="s">
        <v>60</v>
      </c>
      <c r="U25" s="23" t="s">
        <v>61</v>
      </c>
      <c r="V25" s="23" t="s">
        <v>62</v>
      </c>
      <c r="W25" s="24"/>
      <c r="X25" s="25">
        <f t="shared" si="6"/>
        <v>12</v>
      </c>
      <c r="Y25" s="23" t="s">
        <v>63</v>
      </c>
      <c r="Z25" s="23" t="s">
        <v>62</v>
      </c>
      <c r="AA25" s="23"/>
      <c r="AB25" s="23" t="s">
        <v>64</v>
      </c>
      <c r="AD25" s="19" t="s">
        <v>282</v>
      </c>
      <c r="AE25" s="1" t="str">
        <f t="shared" si="7"/>
        <v>北海道札幌市中央区南二条西6-5-3住友狸小路プラザハウス1階せいす</v>
      </c>
      <c r="AF25" s="1" t="s">
        <v>284</v>
      </c>
      <c r="AG25" s="1" t="s">
        <v>283</v>
      </c>
      <c r="AH25" s="1" t="s">
        <v>241</v>
      </c>
      <c r="AI25" s="1" t="str">
        <f t="shared" si="8"/>
        <v> 山形県山形市上町２－９－５</v>
      </c>
      <c r="AJ25" s="1" t="s">
        <v>126</v>
      </c>
      <c r="AK25" s="26" t="s">
        <v>67</v>
      </c>
      <c r="AL25" s="26">
        <v>1</v>
      </c>
      <c r="AM25" s="19" t="str">
        <f ca="1" t="shared" si="10"/>
        <v>JCNZZZ</v>
      </c>
      <c r="AN25" s="1" t="str">
        <f ca="1" t="shared" si="9"/>
        <v>PingDduoDduo</v>
      </c>
      <c r="AU25" s="1" t="s">
        <v>115</v>
      </c>
      <c r="AV25" s="1" t="s">
        <v>232</v>
      </c>
      <c r="AW25" s="1" t="s">
        <v>285</v>
      </c>
      <c r="AX25" s="1" t="s">
        <v>286</v>
      </c>
      <c r="AY25" s="1" t="s">
        <v>287</v>
      </c>
      <c r="AZ25" s="1">
        <v>12</v>
      </c>
      <c r="BA25" s="1" t="s">
        <v>246</v>
      </c>
      <c r="BB25" s="1"/>
      <c r="BC25" s="1"/>
      <c r="BD25" s="1"/>
    </row>
    <row r="26" ht="33" customHeight="1" spans="1:56">
      <c r="A26" s="13" t="s">
        <v>53</v>
      </c>
      <c r="B26" s="14"/>
      <c r="C26" s="15" t="s">
        <v>288</v>
      </c>
      <c r="D26" s="15" t="s">
        <v>288</v>
      </c>
      <c r="E26" s="1">
        <v>1</v>
      </c>
      <c r="F26" s="3">
        <v>0.49</v>
      </c>
      <c r="G26" s="1" t="s">
        <v>55</v>
      </c>
      <c r="H26" s="16" t="str">
        <f t="shared" si="0"/>
        <v>CLEANING AGENTS</v>
      </c>
      <c r="I26" s="16" t="str">
        <f t="shared" si="1"/>
        <v>LANOLIN</v>
      </c>
      <c r="J26" s="16" t="s">
        <v>289</v>
      </c>
      <c r="K26" s="17" t="str">
        <f t="shared" si="2"/>
        <v>和田 開</v>
      </c>
      <c r="L26" s="17"/>
      <c r="M26" s="18" t="str">
        <f t="shared" si="3"/>
        <v>東京都豊島区東池袋5丁目8-5 602号</v>
      </c>
      <c r="N26" s="19" t="str">
        <f t="shared" si="4"/>
        <v>東京都豊島区東池袋5丁目8-5 602号</v>
      </c>
      <c r="O26" s="20" t="str">
        <f>MID(N26,MIN(IFERROR(FIND({0,1,2,3,4,5,6,7,8,9},N26),LEN(N26)+1)),LEN(N26))</f>
        <v>5丁目8-5 602号</v>
      </c>
      <c r="P26" s="20" t="str">
        <f t="shared" si="5"/>
        <v> 5丁目8-5 602号</v>
      </c>
      <c r="Q26" s="19" t="s">
        <v>290</v>
      </c>
      <c r="R26" s="21" t="s">
        <v>291</v>
      </c>
      <c r="S26" s="22" t="s">
        <v>59</v>
      </c>
      <c r="T26" s="22" t="s">
        <v>60</v>
      </c>
      <c r="U26" s="23" t="s">
        <v>61</v>
      </c>
      <c r="V26" s="23" t="s">
        <v>62</v>
      </c>
      <c r="W26" s="24"/>
      <c r="X26" s="25">
        <f t="shared" si="6"/>
        <v>12</v>
      </c>
      <c r="Y26" s="23" t="s">
        <v>63</v>
      </c>
      <c r="Z26" s="23" t="s">
        <v>62</v>
      </c>
      <c r="AA26" s="23"/>
      <c r="AB26" s="23" t="s">
        <v>64</v>
      </c>
      <c r="AD26" s="19" t="s">
        <v>289</v>
      </c>
      <c r="AE26" s="1" t="str">
        <f t="shared" si="7"/>
        <v>東京都豊島区東池袋5丁目8-5 602号</v>
      </c>
      <c r="AF26" s="1" t="s">
        <v>291</v>
      </c>
      <c r="AG26" s="1" t="s">
        <v>290</v>
      </c>
      <c r="AH26" s="1" t="s">
        <v>274</v>
      </c>
      <c r="AI26" s="1" t="str">
        <f t="shared" si="8"/>
        <v> 東京都西多摩郡奥多摩町留浦１０１８</v>
      </c>
      <c r="AJ26" s="1" t="s">
        <v>275</v>
      </c>
      <c r="AK26" s="26" t="s">
        <v>67</v>
      </c>
      <c r="AL26" s="26">
        <v>1</v>
      </c>
      <c r="AM26" s="19" t="str">
        <f ca="1" t="shared" si="10"/>
        <v>JCNZZZ</v>
      </c>
      <c r="AN26" s="1" t="str">
        <f ca="1" t="shared" si="9"/>
        <v>ALIBABA</v>
      </c>
      <c r="AU26" s="1" t="s">
        <v>68</v>
      </c>
      <c r="AV26" s="1" t="s">
        <v>292</v>
      </c>
      <c r="AW26" s="1" t="s">
        <v>293</v>
      </c>
      <c r="AX26" s="1" t="s">
        <v>294</v>
      </c>
      <c r="AY26" s="1" t="s">
        <v>295</v>
      </c>
      <c r="AZ26" s="1">
        <v>12</v>
      </c>
      <c r="BA26" s="1" t="s">
        <v>280</v>
      </c>
      <c r="BB26" s="1"/>
      <c r="BC26" s="1"/>
      <c r="BD26" s="1"/>
    </row>
    <row r="27" ht="33" customHeight="1" spans="1:56">
      <c r="A27" s="13" t="s">
        <v>53</v>
      </c>
      <c r="B27" s="14"/>
      <c r="C27" s="15" t="s">
        <v>296</v>
      </c>
      <c r="D27" s="15" t="s">
        <v>296</v>
      </c>
      <c r="E27" s="1">
        <v>1</v>
      </c>
      <c r="F27" s="3">
        <v>0.29</v>
      </c>
      <c r="G27" s="1" t="s">
        <v>55</v>
      </c>
      <c r="H27" s="16" t="str">
        <f t="shared" si="0"/>
        <v>CUT-RESISTANT GLOVES</v>
      </c>
      <c r="I27" s="16" t="str">
        <f t="shared" si="1"/>
        <v>STEEL WIRE</v>
      </c>
      <c r="J27" s="16" t="s">
        <v>297</v>
      </c>
      <c r="K27" s="17" t="str">
        <f t="shared" si="2"/>
        <v>木村寿範</v>
      </c>
      <c r="L27" s="17"/>
      <c r="M27" s="18" t="str">
        <f t="shared" si="3"/>
        <v>岩手県一関市沢297-14村上商会</v>
      </c>
      <c r="N27" s="19" t="str">
        <f t="shared" si="4"/>
        <v>岩手県一関市沢297-14村上商会</v>
      </c>
      <c r="O27" s="20" t="str">
        <f>MID(N27,MIN(IFERROR(FIND({0,1,2,3,4,5,6,7,8,9},N27),LEN(N27)+1)),LEN(N27))</f>
        <v>297-14村上商会</v>
      </c>
      <c r="P27" s="20" t="str">
        <f t="shared" si="5"/>
        <v> 297-14村上商会</v>
      </c>
      <c r="Q27" s="19" t="s">
        <v>298</v>
      </c>
      <c r="R27" s="21" t="s">
        <v>299</v>
      </c>
      <c r="S27" s="22" t="s">
        <v>59</v>
      </c>
      <c r="T27" s="22" t="s">
        <v>60</v>
      </c>
      <c r="U27" s="23" t="s">
        <v>61</v>
      </c>
      <c r="V27" s="23" t="s">
        <v>62</v>
      </c>
      <c r="W27" s="24"/>
      <c r="X27" s="25">
        <f t="shared" si="6"/>
        <v>16</v>
      </c>
      <c r="Y27" s="23" t="s">
        <v>63</v>
      </c>
      <c r="Z27" s="23" t="s">
        <v>62</v>
      </c>
      <c r="AA27" s="23"/>
      <c r="AB27" s="23" t="s">
        <v>64</v>
      </c>
      <c r="AD27" s="19" t="s">
        <v>297</v>
      </c>
      <c r="AE27" s="1" t="str">
        <f t="shared" si="7"/>
        <v>岩手県一関市沢297-14村上商会</v>
      </c>
      <c r="AF27" s="1" t="s">
        <v>299</v>
      </c>
      <c r="AG27" s="1" t="s">
        <v>298</v>
      </c>
      <c r="AH27" s="1" t="s">
        <v>125</v>
      </c>
      <c r="AI27" s="1" t="str">
        <f t="shared" si="8"/>
        <v> 滋賀県甲賀市甲南町野尻558</v>
      </c>
      <c r="AJ27" s="1" t="s">
        <v>126</v>
      </c>
      <c r="AK27" s="26" t="s">
        <v>67</v>
      </c>
      <c r="AL27" s="26">
        <v>1</v>
      </c>
      <c r="AM27" s="19" t="str">
        <f ca="1" t="shared" si="10"/>
        <v>PJP001</v>
      </c>
      <c r="AN27" s="1" t="str">
        <f ca="1" t="shared" si="9"/>
        <v/>
      </c>
      <c r="AU27" s="1" t="s">
        <v>300</v>
      </c>
      <c r="AV27" s="1" t="s">
        <v>301</v>
      </c>
      <c r="AW27" s="1" t="s">
        <v>302</v>
      </c>
      <c r="AX27" s="1" t="s">
        <v>303</v>
      </c>
      <c r="AY27" s="1" t="s">
        <v>304</v>
      </c>
      <c r="AZ27" s="1">
        <v>16</v>
      </c>
      <c r="BA27" s="1" t="s">
        <v>132</v>
      </c>
      <c r="BB27" s="1"/>
      <c r="BC27" s="1"/>
      <c r="BD27" s="1"/>
    </row>
    <row r="28" ht="33" customHeight="1" spans="1:56">
      <c r="A28" s="13" t="s">
        <v>53</v>
      </c>
      <c r="B28" s="14"/>
      <c r="C28" s="15" t="s">
        <v>305</v>
      </c>
      <c r="D28" s="15" t="s">
        <v>305</v>
      </c>
      <c r="E28" s="1">
        <v>1</v>
      </c>
      <c r="F28" s="3">
        <v>0.16</v>
      </c>
      <c r="G28" s="1" t="s">
        <v>55</v>
      </c>
      <c r="H28" s="16" t="str">
        <f t="shared" si="0"/>
        <v>PLASTIC TOYS</v>
      </c>
      <c r="I28" s="16" t="str">
        <f t="shared" si="1"/>
        <v>ABS</v>
      </c>
      <c r="J28" s="16" t="s">
        <v>306</v>
      </c>
      <c r="K28" s="17" t="str">
        <f t="shared" si="2"/>
        <v>加賀田 宙佑</v>
      </c>
      <c r="L28" s="17"/>
      <c r="M28" s="18" t="str">
        <f t="shared" si="3"/>
        <v>神奈川県川崎市幸区河原町 河原町団地13号棟223番</v>
      </c>
      <c r="N28" s="19" t="str">
        <f t="shared" si="4"/>
        <v>神奈川県川崎市幸区河原町 河原町団地13号棟223番</v>
      </c>
      <c r="O28" s="20" t="str">
        <f>MID(N28,MIN(IFERROR(FIND({0,1,2,3,4,5,6,7,8,9},N28),LEN(N28)+1)),LEN(N28))</f>
        <v>13号棟223番</v>
      </c>
      <c r="P28" s="20" t="str">
        <f t="shared" si="5"/>
        <v> 13号棟223番</v>
      </c>
      <c r="Q28" s="19" t="s">
        <v>307</v>
      </c>
      <c r="R28" s="21" t="s">
        <v>308</v>
      </c>
      <c r="S28" s="22" t="s">
        <v>59</v>
      </c>
      <c r="T28" s="22" t="s">
        <v>60</v>
      </c>
      <c r="U28" s="23" t="s">
        <v>61</v>
      </c>
      <c r="V28" s="23" t="s">
        <v>62</v>
      </c>
      <c r="W28" s="24"/>
      <c r="X28" s="25">
        <f t="shared" si="6"/>
        <v>12</v>
      </c>
      <c r="Y28" s="23" t="s">
        <v>63</v>
      </c>
      <c r="Z28" s="23" t="s">
        <v>62</v>
      </c>
      <c r="AA28" s="23"/>
      <c r="AB28" s="23" t="s">
        <v>64</v>
      </c>
      <c r="AD28" s="19" t="s">
        <v>306</v>
      </c>
      <c r="AE28" s="1" t="str">
        <f t="shared" si="7"/>
        <v>神奈川県川崎市幸区河原町 河原町団地13号棟223番</v>
      </c>
      <c r="AF28" s="1" t="s">
        <v>308</v>
      </c>
      <c r="AG28" s="1" t="s">
        <v>307</v>
      </c>
      <c r="AH28" s="1"/>
      <c r="AI28" s="1" t="str">
        <f t="shared" si="8"/>
        <v> </v>
      </c>
      <c r="AJ28" s="1" t="s">
        <v>91</v>
      </c>
      <c r="AK28" s="26" t="s">
        <v>67</v>
      </c>
      <c r="AL28" s="26">
        <v>1</v>
      </c>
      <c r="AM28" s="19" t="str">
        <f ca="1" t="shared" si="10"/>
        <v>JCNZZZ</v>
      </c>
      <c r="AN28" s="1" t="str">
        <f ca="1" t="shared" si="9"/>
        <v>JinDdong</v>
      </c>
      <c r="AU28" s="1"/>
      <c r="AV28" s="1"/>
      <c r="AW28" s="1" t="s">
        <v>309</v>
      </c>
      <c r="AX28" s="1" t="s">
        <v>310</v>
      </c>
      <c r="AY28" s="1" t="s">
        <v>72</v>
      </c>
      <c r="AZ28" s="1">
        <v>12.8</v>
      </c>
      <c r="BA28" s="1" t="s">
        <v>91</v>
      </c>
      <c r="BB28" s="1"/>
      <c r="BC28" s="1"/>
      <c r="BD28" s="1"/>
    </row>
    <row r="29" ht="33" customHeight="1" spans="1:56">
      <c r="A29" s="13" t="s">
        <v>53</v>
      </c>
      <c r="B29" s="14"/>
      <c r="C29" s="15" t="s">
        <v>311</v>
      </c>
      <c r="D29" s="15" t="s">
        <v>311</v>
      </c>
      <c r="E29" s="1">
        <v>1</v>
      </c>
      <c r="F29" s="3">
        <v>0.23</v>
      </c>
      <c r="G29" s="1" t="s">
        <v>55</v>
      </c>
      <c r="H29" s="16" t="str">
        <f t="shared" si="0"/>
        <v>PHONE CASE</v>
      </c>
      <c r="I29" s="16" t="str">
        <f t="shared" si="1"/>
        <v>ABS</v>
      </c>
      <c r="J29" s="16" t="s">
        <v>182</v>
      </c>
      <c r="K29" s="17" t="str">
        <f t="shared" si="2"/>
        <v>野村 京</v>
      </c>
      <c r="L29" s="17"/>
      <c r="M29" s="18" t="str">
        <f t="shared" si="3"/>
        <v>東京都新宿区西新宿7丁目1-12　 Crossoffice新宿705</v>
      </c>
      <c r="N29" s="19" t="str">
        <f t="shared" si="4"/>
        <v>東京都新宿区西新宿7丁目1-12　 CROSSOFFICE新宿705</v>
      </c>
      <c r="O29" s="20" t="str">
        <f>MID(N29,MIN(IFERROR(FIND({0,1,2,3,4,5,6,7,8,9},N29),LEN(N29)+1)),LEN(N29))</f>
        <v>7丁目1-12　 CROSSOFFICE新宿705</v>
      </c>
      <c r="P29" s="20" t="str">
        <f t="shared" si="5"/>
        <v> 7丁目1-12　 CROSSOFFICE新宿705</v>
      </c>
      <c r="Q29" s="19" t="s">
        <v>183</v>
      </c>
      <c r="R29" s="21" t="s">
        <v>184</v>
      </c>
      <c r="S29" s="22" t="s">
        <v>59</v>
      </c>
      <c r="T29" s="22" t="s">
        <v>60</v>
      </c>
      <c r="U29" s="23" t="s">
        <v>61</v>
      </c>
      <c r="V29" s="23" t="s">
        <v>62</v>
      </c>
      <c r="W29" s="24"/>
      <c r="X29" s="25">
        <f t="shared" si="6"/>
        <v>10</v>
      </c>
      <c r="Y29" s="23" t="s">
        <v>63</v>
      </c>
      <c r="Z29" s="23" t="s">
        <v>62</v>
      </c>
      <c r="AA29" s="23"/>
      <c r="AB29" s="23" t="s">
        <v>64</v>
      </c>
      <c r="AD29" s="19" t="s">
        <v>182</v>
      </c>
      <c r="AE29" s="1" t="str">
        <f t="shared" si="7"/>
        <v>東京都新宿区西新宿7丁目1-12　 Crossoffice新宿705</v>
      </c>
      <c r="AF29" s="1" t="s">
        <v>184</v>
      </c>
      <c r="AG29" s="1" t="s">
        <v>183</v>
      </c>
      <c r="AH29" s="1"/>
      <c r="AI29" s="1" t="str">
        <f t="shared" si="8"/>
        <v> </v>
      </c>
      <c r="AJ29" s="1" t="s">
        <v>91</v>
      </c>
      <c r="AK29" s="26" t="s">
        <v>67</v>
      </c>
      <c r="AL29" s="26">
        <v>1</v>
      </c>
      <c r="AM29" s="19" t="str">
        <f ca="1" t="shared" si="10"/>
        <v>JCNZZZ</v>
      </c>
      <c r="AN29" s="1" t="str">
        <f ca="1" t="shared" si="9"/>
        <v>JinDdong</v>
      </c>
      <c r="AU29" s="1"/>
      <c r="AV29" s="1"/>
      <c r="AW29" s="1" t="s">
        <v>185</v>
      </c>
      <c r="AX29" s="1" t="s">
        <v>312</v>
      </c>
      <c r="AY29" s="1" t="s">
        <v>72</v>
      </c>
      <c r="AZ29" s="1">
        <v>10.2</v>
      </c>
      <c r="BA29" s="1" t="s">
        <v>91</v>
      </c>
      <c r="BB29" s="1"/>
      <c r="BC29" s="1"/>
      <c r="BD29" s="1"/>
    </row>
    <row r="30" ht="33" customHeight="1" spans="1:56">
      <c r="A30" s="13" t="s">
        <v>53</v>
      </c>
      <c r="B30" s="14"/>
      <c r="C30" s="15" t="s">
        <v>313</v>
      </c>
      <c r="D30" s="15" t="s">
        <v>313</v>
      </c>
      <c r="E30" s="1">
        <v>1</v>
      </c>
      <c r="F30" s="3">
        <v>0.42</v>
      </c>
      <c r="G30" s="1" t="s">
        <v>55</v>
      </c>
      <c r="H30" s="16" t="str">
        <f t="shared" si="0"/>
        <v>TOY</v>
      </c>
      <c r="I30" s="16" t="str">
        <f t="shared" si="1"/>
        <v>PLASTIC</v>
      </c>
      <c r="J30" s="16" t="s">
        <v>314</v>
      </c>
      <c r="K30" s="17" t="str">
        <f t="shared" si="2"/>
        <v>大久保 昌代</v>
      </c>
      <c r="L30" s="17"/>
      <c r="M30" s="18" t="str">
        <f t="shared" si="3"/>
        <v>東京都府中市南町1-47-1シルキーパレス103</v>
      </c>
      <c r="N30" s="19" t="str">
        <f t="shared" si="4"/>
        <v>東京都府中市南町1-47-1シルキーパレス103</v>
      </c>
      <c r="O30" s="20" t="str">
        <f>MID(N30,MIN(IFERROR(FIND({0,1,2,3,4,5,6,7,8,9},N30),LEN(N30)+1)),LEN(N30))</f>
        <v>1-47-1シルキーパレス103</v>
      </c>
      <c r="P30" s="20" t="str">
        <f t="shared" si="5"/>
        <v> 1-47-1シルキーパレス103</v>
      </c>
      <c r="Q30" s="19" t="s">
        <v>315</v>
      </c>
      <c r="R30" s="21" t="s">
        <v>316</v>
      </c>
      <c r="S30" s="22" t="s">
        <v>59</v>
      </c>
      <c r="T30" s="22" t="s">
        <v>60</v>
      </c>
      <c r="U30" s="23" t="s">
        <v>61</v>
      </c>
      <c r="V30" s="23" t="s">
        <v>62</v>
      </c>
      <c r="W30" s="24"/>
      <c r="X30" s="25">
        <f t="shared" si="6"/>
        <v>12</v>
      </c>
      <c r="Y30" s="23" t="s">
        <v>63</v>
      </c>
      <c r="Z30" s="23" t="s">
        <v>62</v>
      </c>
      <c r="AA30" s="23"/>
      <c r="AB30" s="23" t="s">
        <v>64</v>
      </c>
      <c r="AD30" s="19" t="s">
        <v>314</v>
      </c>
      <c r="AE30" s="1" t="str">
        <f t="shared" si="7"/>
        <v>東京都府中市南町1-47-1シルキーパレス103</v>
      </c>
      <c r="AF30" s="1" t="s">
        <v>316</v>
      </c>
      <c r="AG30" s="1" t="s">
        <v>315</v>
      </c>
      <c r="AH30" s="1" t="s">
        <v>274</v>
      </c>
      <c r="AI30" s="1" t="str">
        <f t="shared" si="8"/>
        <v> 東京都西多摩郡奥多摩町留浦１０１８</v>
      </c>
      <c r="AJ30" s="1" t="s">
        <v>275</v>
      </c>
      <c r="AK30" s="26" t="s">
        <v>67</v>
      </c>
      <c r="AL30" s="26">
        <v>1</v>
      </c>
      <c r="AM30" s="19" t="str">
        <f ca="1" t="shared" si="10"/>
        <v>JCNZZZ</v>
      </c>
      <c r="AN30" s="1" t="str">
        <f ca="1" t="shared" si="9"/>
        <v>TAOBAO0</v>
      </c>
      <c r="AU30" s="1" t="s">
        <v>68</v>
      </c>
      <c r="AV30" s="1" t="s">
        <v>317</v>
      </c>
      <c r="AW30" s="1" t="s">
        <v>318</v>
      </c>
      <c r="AX30" s="1" t="s">
        <v>319</v>
      </c>
      <c r="AY30" s="1" t="s">
        <v>94</v>
      </c>
      <c r="AZ30" s="1">
        <v>12</v>
      </c>
      <c r="BA30" s="1" t="s">
        <v>280</v>
      </c>
      <c r="BB30" s="1"/>
      <c r="BC30" s="1"/>
      <c r="BD30" s="1"/>
    </row>
    <row r="31" ht="33" customHeight="1" spans="1:56">
      <c r="A31" s="13" t="s">
        <v>53</v>
      </c>
      <c r="B31" s="14"/>
      <c r="C31" s="15" t="s">
        <v>320</v>
      </c>
      <c r="D31" s="15" t="s">
        <v>320</v>
      </c>
      <c r="E31" s="1">
        <v>1</v>
      </c>
      <c r="F31" s="3">
        <v>0.33</v>
      </c>
      <c r="G31" s="1" t="s">
        <v>55</v>
      </c>
      <c r="H31" s="16" t="str">
        <f t="shared" si="0"/>
        <v>EARPHONES</v>
      </c>
      <c r="I31" s="16" t="str">
        <f t="shared" si="1"/>
        <v>PLASTIC</v>
      </c>
      <c r="J31" s="16" t="s">
        <v>321</v>
      </c>
      <c r="K31" s="17" t="str">
        <f t="shared" si="2"/>
        <v>御園 幸江</v>
      </c>
      <c r="L31" s="17"/>
      <c r="M31" s="18" t="str">
        <f t="shared" si="3"/>
        <v>北海道釧路市桜ケ岡7-7-7</v>
      </c>
      <c r="N31" s="19" t="str">
        <f t="shared" si="4"/>
        <v>北海道釧路市桜ケ岡7-7-7</v>
      </c>
      <c r="O31" s="20" t="str">
        <f>MID(N31,MIN(IFERROR(FIND({0,1,2,3,4,5,6,7,8,9},N31),LEN(N31)+1)),LEN(N31))</f>
        <v>7-7-7</v>
      </c>
      <c r="P31" s="20" t="str">
        <f t="shared" si="5"/>
        <v> 7-7-7</v>
      </c>
      <c r="Q31" s="19" t="s">
        <v>322</v>
      </c>
      <c r="R31" s="21" t="s">
        <v>323</v>
      </c>
      <c r="S31" s="22" t="s">
        <v>59</v>
      </c>
      <c r="T31" s="22" t="s">
        <v>60</v>
      </c>
      <c r="U31" s="23" t="s">
        <v>61</v>
      </c>
      <c r="V31" s="23" t="s">
        <v>62</v>
      </c>
      <c r="W31" s="24"/>
      <c r="X31" s="25">
        <f t="shared" si="6"/>
        <v>18</v>
      </c>
      <c r="Y31" s="23" t="s">
        <v>63</v>
      </c>
      <c r="Z31" s="23" t="s">
        <v>62</v>
      </c>
      <c r="AA31" s="23"/>
      <c r="AB31" s="23" t="s">
        <v>64</v>
      </c>
      <c r="AD31" s="19" t="s">
        <v>321</v>
      </c>
      <c r="AE31" s="1" t="str">
        <f t="shared" si="7"/>
        <v>北海道釧路市桜ケ岡7-7-7</v>
      </c>
      <c r="AF31" s="1" t="s">
        <v>323</v>
      </c>
      <c r="AG31" s="1" t="s">
        <v>322</v>
      </c>
      <c r="AH31" s="1" t="s">
        <v>86</v>
      </c>
      <c r="AI31" s="1" t="str">
        <f t="shared" si="8"/>
        <v>大阪府堺市 中百舌鳥町6丁目１００１-5盲亀浮木の店</v>
      </c>
      <c r="AJ31" s="1" t="s">
        <v>200</v>
      </c>
      <c r="AK31" s="26" t="s">
        <v>67</v>
      </c>
      <c r="AL31" s="26">
        <v>1</v>
      </c>
      <c r="AM31" s="19" t="str">
        <f ca="1" t="shared" si="10"/>
        <v>JCNZZZ</v>
      </c>
      <c r="AN31" s="1" t="str">
        <f ca="1" t="shared" si="9"/>
        <v>TAOBAO0</v>
      </c>
      <c r="AU31" s="1" t="s">
        <v>115</v>
      </c>
      <c r="AV31" s="1" t="s">
        <v>324</v>
      </c>
      <c r="AW31" s="1" t="s">
        <v>325</v>
      </c>
      <c r="AX31" s="1" t="s">
        <v>326</v>
      </c>
      <c r="AY31" s="1" t="s">
        <v>94</v>
      </c>
      <c r="AZ31" s="1">
        <v>18.22</v>
      </c>
      <c r="BA31" s="1" t="s">
        <v>205</v>
      </c>
      <c r="BB31" s="1" t="s">
        <v>206</v>
      </c>
      <c r="BC31" s="1" t="s">
        <v>207</v>
      </c>
      <c r="BD31" s="1" t="s">
        <v>86</v>
      </c>
    </row>
    <row r="32" ht="33" customHeight="1" spans="1:56">
      <c r="A32" s="13" t="s">
        <v>53</v>
      </c>
      <c r="B32" s="14"/>
      <c r="C32" s="15" t="s">
        <v>327</v>
      </c>
      <c r="D32" s="15" t="s">
        <v>327</v>
      </c>
      <c r="E32" s="1">
        <v>1</v>
      </c>
      <c r="F32" s="3">
        <v>0.37</v>
      </c>
      <c r="G32" s="1" t="s">
        <v>55</v>
      </c>
      <c r="H32" s="16" t="str">
        <f t="shared" si="0"/>
        <v>NECK MASSAGER</v>
      </c>
      <c r="I32" s="16" t="str">
        <f t="shared" si="1"/>
        <v>ABS</v>
      </c>
      <c r="J32" s="16" t="s">
        <v>328</v>
      </c>
      <c r="K32" s="17" t="str">
        <f t="shared" si="2"/>
        <v>前田　裕香</v>
      </c>
      <c r="L32" s="17"/>
      <c r="M32" s="18" t="str">
        <f t="shared" si="3"/>
        <v>愛知県 春日井市 上条町3-24-2-9C</v>
      </c>
      <c r="N32" s="19" t="str">
        <f t="shared" si="4"/>
        <v>愛知県 春日井市 上条町3-24-2-9C</v>
      </c>
      <c r="O32" s="20" t="str">
        <f>MID(N32,MIN(IFERROR(FIND({0,1,2,3,4,5,6,7,8,9},N32),LEN(N32)+1)),LEN(N32))</f>
        <v>3-24-2-9C</v>
      </c>
      <c r="P32" s="20" t="str">
        <f t="shared" si="5"/>
        <v> 3-24-2-9C</v>
      </c>
      <c r="Q32" s="19" t="s">
        <v>329</v>
      </c>
      <c r="R32" s="21" t="s">
        <v>330</v>
      </c>
      <c r="S32" s="22" t="s">
        <v>59</v>
      </c>
      <c r="T32" s="22" t="s">
        <v>60</v>
      </c>
      <c r="U32" s="23" t="s">
        <v>61</v>
      </c>
      <c r="V32" s="23" t="s">
        <v>62</v>
      </c>
      <c r="W32" s="24"/>
      <c r="X32" s="25">
        <f t="shared" si="6"/>
        <v>10</v>
      </c>
      <c r="Y32" s="23" t="s">
        <v>63</v>
      </c>
      <c r="Z32" s="23" t="s">
        <v>62</v>
      </c>
      <c r="AA32" s="23"/>
      <c r="AB32" s="23" t="s">
        <v>64</v>
      </c>
      <c r="AD32" s="19" t="s">
        <v>328</v>
      </c>
      <c r="AE32" s="1" t="str">
        <f t="shared" si="7"/>
        <v>愛知県 春日井市 上条町3-24-2-9C</v>
      </c>
      <c r="AF32" s="1" t="s">
        <v>330</v>
      </c>
      <c r="AG32" s="1" t="s">
        <v>329</v>
      </c>
      <c r="AH32" s="1"/>
      <c r="AI32" s="1" t="str">
        <f t="shared" si="8"/>
        <v> </v>
      </c>
      <c r="AJ32" s="1" t="s">
        <v>91</v>
      </c>
      <c r="AK32" s="26" t="s">
        <v>67</v>
      </c>
      <c r="AL32" s="26">
        <v>1</v>
      </c>
      <c r="AM32" s="19" t="str">
        <f ca="1" t="shared" si="10"/>
        <v>JCNZZZ</v>
      </c>
      <c r="AN32" s="1" t="str">
        <f ca="1" t="shared" si="9"/>
        <v>JinDdong</v>
      </c>
      <c r="AU32" s="1"/>
      <c r="AV32" s="1"/>
      <c r="AW32" s="1" t="s">
        <v>331</v>
      </c>
      <c r="AX32" s="1" t="s">
        <v>332</v>
      </c>
      <c r="AY32" s="1" t="s">
        <v>72</v>
      </c>
      <c r="AZ32" s="1">
        <v>10</v>
      </c>
      <c r="BA32" s="1" t="s">
        <v>91</v>
      </c>
      <c r="BB32" s="1"/>
      <c r="BC32" s="1"/>
      <c r="BD32" s="1"/>
    </row>
    <row r="33" ht="33" customHeight="1" spans="1:56">
      <c r="A33" s="13" t="s">
        <v>53</v>
      </c>
      <c r="B33" s="14"/>
      <c r="C33" s="15" t="s">
        <v>333</v>
      </c>
      <c r="D33" s="15" t="s">
        <v>333</v>
      </c>
      <c r="E33" s="1">
        <v>1</v>
      </c>
      <c r="F33" s="3">
        <v>0.16</v>
      </c>
      <c r="G33" s="1" t="s">
        <v>55</v>
      </c>
      <c r="H33" s="16" t="str">
        <f t="shared" si="0"/>
        <v>PLASTIC TOYS</v>
      </c>
      <c r="I33" s="16" t="str">
        <f t="shared" si="1"/>
        <v>ABS</v>
      </c>
      <c r="J33" s="16" t="s">
        <v>334</v>
      </c>
      <c r="K33" s="17" t="str">
        <f t="shared" si="2"/>
        <v>相馬 周</v>
      </c>
      <c r="L33" s="17"/>
      <c r="M33" s="18" t="str">
        <f t="shared" si="3"/>
        <v>青森県青森市 茶屋町4-14</v>
      </c>
      <c r="N33" s="19" t="str">
        <f t="shared" si="4"/>
        <v>青森県青森市 茶屋町4-14</v>
      </c>
      <c r="O33" s="20" t="str">
        <f>MID(N33,MIN(IFERROR(FIND({0,1,2,3,4,5,6,7,8,9},N33),LEN(N33)+1)),LEN(N33))</f>
        <v>4-14</v>
      </c>
      <c r="P33" s="20" t="str">
        <f t="shared" si="5"/>
        <v> 4-14</v>
      </c>
      <c r="Q33" s="19" t="s">
        <v>335</v>
      </c>
      <c r="R33" s="21" t="s">
        <v>336</v>
      </c>
      <c r="S33" s="22" t="s">
        <v>59</v>
      </c>
      <c r="T33" s="22" t="s">
        <v>60</v>
      </c>
      <c r="U33" s="23" t="s">
        <v>61</v>
      </c>
      <c r="V33" s="23" t="s">
        <v>62</v>
      </c>
      <c r="W33" s="24"/>
      <c r="X33" s="25">
        <f t="shared" si="6"/>
        <v>12</v>
      </c>
      <c r="Y33" s="23" t="s">
        <v>63</v>
      </c>
      <c r="Z33" s="23" t="s">
        <v>62</v>
      </c>
      <c r="AA33" s="23"/>
      <c r="AB33" s="23" t="s">
        <v>64</v>
      </c>
      <c r="AD33" s="19" t="s">
        <v>334</v>
      </c>
      <c r="AE33" s="1" t="str">
        <f t="shared" si="7"/>
        <v>青森県青森市 茶屋町4-14</v>
      </c>
      <c r="AF33" s="1" t="s">
        <v>336</v>
      </c>
      <c r="AG33" s="1" t="s">
        <v>335</v>
      </c>
      <c r="AH33" s="1"/>
      <c r="AI33" s="1" t="str">
        <f t="shared" si="8"/>
        <v> </v>
      </c>
      <c r="AJ33" s="1" t="s">
        <v>91</v>
      </c>
      <c r="AK33" s="26" t="s">
        <v>67</v>
      </c>
      <c r="AL33" s="26">
        <v>1</v>
      </c>
      <c r="AM33" s="19" t="str">
        <f ca="1" t="shared" si="10"/>
        <v>JCNZZZ</v>
      </c>
      <c r="AN33" s="1" t="str">
        <f ca="1" t="shared" si="9"/>
        <v>JinDdong</v>
      </c>
      <c r="AU33" s="1"/>
      <c r="AV33" s="1"/>
      <c r="AW33" s="1" t="s">
        <v>337</v>
      </c>
      <c r="AX33" s="1" t="s">
        <v>310</v>
      </c>
      <c r="AY33" s="1" t="s">
        <v>72</v>
      </c>
      <c r="AZ33" s="1">
        <v>12.8</v>
      </c>
      <c r="BA33" s="1" t="s">
        <v>91</v>
      </c>
      <c r="BB33" s="1"/>
      <c r="BC33" s="1"/>
      <c r="BD33" s="1"/>
    </row>
    <row r="34" ht="33" customHeight="1" spans="1:56">
      <c r="A34" s="13" t="s">
        <v>53</v>
      </c>
      <c r="B34" s="14"/>
      <c r="C34" s="15" t="s">
        <v>338</v>
      </c>
      <c r="D34" s="15" t="s">
        <v>338</v>
      </c>
      <c r="E34" s="1">
        <v>1</v>
      </c>
      <c r="F34" s="3">
        <v>0.3</v>
      </c>
      <c r="G34" s="1" t="s">
        <v>55</v>
      </c>
      <c r="H34" s="16" t="str">
        <f t="shared" si="0"/>
        <v>EYE PROTECTOR</v>
      </c>
      <c r="I34" s="16" t="str">
        <f t="shared" si="1"/>
        <v>ABS</v>
      </c>
      <c r="J34" s="16" t="s">
        <v>339</v>
      </c>
      <c r="K34" s="17" t="str">
        <f t="shared" si="2"/>
        <v>福田 真弓 [フクダ マユミ]</v>
      </c>
      <c r="L34" s="17"/>
      <c r="M34" s="18" t="str">
        <f t="shared" si="3"/>
        <v>北海道札幌市豊平区中の島一条4丁目2-16 Tiberina中の島401</v>
      </c>
      <c r="N34" s="19" t="str">
        <f t="shared" si="4"/>
        <v>北海道札幌市豊平区中の島一条4丁目2-16 TIBERINA中の島401</v>
      </c>
      <c r="O34" s="20" t="str">
        <f>MID(N34,MIN(IFERROR(FIND({0,1,2,3,4,5,6,7,8,9},N34),LEN(N34)+1)),LEN(N34))</f>
        <v>4丁目2-16 TIBERINA中の島401</v>
      </c>
      <c r="P34" s="20" t="str">
        <f t="shared" si="5"/>
        <v> 4丁目2-16 TIBERINA中の島401</v>
      </c>
      <c r="Q34" s="19" t="s">
        <v>340</v>
      </c>
      <c r="R34" s="21" t="s">
        <v>341</v>
      </c>
      <c r="S34" s="22" t="s">
        <v>59</v>
      </c>
      <c r="T34" s="22" t="s">
        <v>60</v>
      </c>
      <c r="U34" s="23" t="s">
        <v>61</v>
      </c>
      <c r="V34" s="23" t="s">
        <v>62</v>
      </c>
      <c r="W34" s="24"/>
      <c r="X34" s="25">
        <f t="shared" si="6"/>
        <v>8</v>
      </c>
      <c r="Y34" s="23" t="s">
        <v>63</v>
      </c>
      <c r="Z34" s="23" t="s">
        <v>62</v>
      </c>
      <c r="AA34" s="23"/>
      <c r="AB34" s="23" t="s">
        <v>64</v>
      </c>
      <c r="AD34" s="19" t="s">
        <v>339</v>
      </c>
      <c r="AE34" s="1" t="str">
        <f t="shared" si="7"/>
        <v>北海道札幌市豊平区中の島一条4丁目2-16 Tiberina中の島401</v>
      </c>
      <c r="AF34" s="1" t="s">
        <v>341</v>
      </c>
      <c r="AG34" s="1" t="s">
        <v>340</v>
      </c>
      <c r="AH34" s="1" t="s">
        <v>342</v>
      </c>
      <c r="AI34" s="1" t="str">
        <f t="shared" si="8"/>
        <v> 中央区内本町2‐3‐8　ダイアパレスビル本町 1006ミズイシテクノロジー</v>
      </c>
      <c r="AJ34" s="1" t="s">
        <v>343</v>
      </c>
      <c r="AK34" s="26" t="s">
        <v>67</v>
      </c>
      <c r="AL34" s="26">
        <v>1</v>
      </c>
      <c r="AM34" s="19" t="str">
        <f ca="1" t="shared" si="10"/>
        <v>PJP001</v>
      </c>
      <c r="AN34" s="1" t="str">
        <f ca="1" t="shared" si="9"/>
        <v/>
      </c>
      <c r="AU34" s="1" t="s">
        <v>115</v>
      </c>
      <c r="AV34" s="1" t="s">
        <v>344</v>
      </c>
      <c r="AW34" s="1" t="s">
        <v>345</v>
      </c>
      <c r="AX34" s="1" t="s">
        <v>346</v>
      </c>
      <c r="AY34" s="1" t="s">
        <v>72</v>
      </c>
      <c r="AZ34" s="1">
        <v>8.45</v>
      </c>
      <c r="BA34" s="1" t="s">
        <v>347</v>
      </c>
      <c r="BB34" s="1"/>
      <c r="BC34" s="1"/>
      <c r="BD34" s="1"/>
    </row>
    <row r="35" ht="33" customHeight="1" spans="1:56">
      <c r="A35" s="13" t="s">
        <v>53</v>
      </c>
      <c r="B35" s="14"/>
      <c r="C35" s="15" t="s">
        <v>348</v>
      </c>
      <c r="D35" s="15" t="s">
        <v>348</v>
      </c>
      <c r="E35" s="1">
        <v>1</v>
      </c>
      <c r="F35" s="3">
        <v>0.17</v>
      </c>
      <c r="G35" s="1" t="s">
        <v>55</v>
      </c>
      <c r="H35" s="16" t="str">
        <f t="shared" si="0"/>
        <v>WATER QUALITY TESTING PEN</v>
      </c>
      <c r="I35" s="16" t="str">
        <f t="shared" si="1"/>
        <v>ABS</v>
      </c>
      <c r="J35" s="16" t="s">
        <v>349</v>
      </c>
      <c r="K35" s="17" t="str">
        <f t="shared" si="2"/>
        <v>松田 修一 [マツダ シュウイチ]</v>
      </c>
      <c r="L35" s="17"/>
      <c r="M35" s="18" t="str">
        <f t="shared" si="3"/>
        <v>北海道恵庭市恵み野南5-6-11</v>
      </c>
      <c r="N35" s="19" t="str">
        <f t="shared" si="4"/>
        <v>北海道恵庭市恵み野南5-6-11</v>
      </c>
      <c r="O35" s="20" t="str">
        <f>MID(N35,MIN(IFERROR(FIND({0,1,2,3,4,5,6,7,8,9},N35),LEN(N35)+1)),LEN(N35))</f>
        <v>5-6-11</v>
      </c>
      <c r="P35" s="20" t="str">
        <f t="shared" si="5"/>
        <v> 5-6-11</v>
      </c>
      <c r="Q35" s="19" t="s">
        <v>350</v>
      </c>
      <c r="R35" s="21" t="s">
        <v>351</v>
      </c>
      <c r="S35" s="22" t="s">
        <v>59</v>
      </c>
      <c r="T35" s="22" t="s">
        <v>60</v>
      </c>
      <c r="U35" s="23" t="s">
        <v>61</v>
      </c>
      <c r="V35" s="23" t="s">
        <v>62</v>
      </c>
      <c r="W35" s="24"/>
      <c r="X35" s="25">
        <f t="shared" si="6"/>
        <v>8</v>
      </c>
      <c r="Y35" s="23" t="s">
        <v>63</v>
      </c>
      <c r="Z35" s="23" t="s">
        <v>62</v>
      </c>
      <c r="AA35" s="23"/>
      <c r="AB35" s="23" t="s">
        <v>64</v>
      </c>
      <c r="AD35" s="19" t="s">
        <v>349</v>
      </c>
      <c r="AE35" s="1" t="str">
        <f t="shared" si="7"/>
        <v>北海道恵庭市恵み野南5-6-11</v>
      </c>
      <c r="AF35" s="1" t="s">
        <v>351</v>
      </c>
      <c r="AG35" s="1" t="s">
        <v>350</v>
      </c>
      <c r="AH35" s="1" t="s">
        <v>176</v>
      </c>
      <c r="AI35" s="1" t="str">
        <f t="shared" si="8"/>
        <v> 東京都品川区平塚1-13-1</v>
      </c>
      <c r="AJ35" s="1" t="s">
        <v>177</v>
      </c>
      <c r="AK35" s="26" t="s">
        <v>67</v>
      </c>
      <c r="AL35" s="26">
        <v>1</v>
      </c>
      <c r="AM35" s="19" t="str">
        <f ca="1" t="shared" si="10"/>
        <v>PJP001</v>
      </c>
      <c r="AN35" s="1" t="str">
        <f ca="1" t="shared" si="9"/>
        <v/>
      </c>
      <c r="AU35" s="1" t="s">
        <v>115</v>
      </c>
      <c r="AV35" s="1" t="s">
        <v>352</v>
      </c>
      <c r="AW35" s="1" t="s">
        <v>353</v>
      </c>
      <c r="AX35" s="1" t="s">
        <v>354</v>
      </c>
      <c r="AY35" s="1" t="s">
        <v>72</v>
      </c>
      <c r="AZ35" s="1">
        <v>8.1</v>
      </c>
      <c r="BA35" s="1" t="s">
        <v>180</v>
      </c>
      <c r="BB35" s="1"/>
      <c r="BC35" s="1"/>
      <c r="BD35" s="1"/>
    </row>
    <row r="36" ht="33" customHeight="1" spans="1:56">
      <c r="A36" s="13" t="s">
        <v>53</v>
      </c>
      <c r="B36" s="14"/>
      <c r="C36" s="15" t="s">
        <v>355</v>
      </c>
      <c r="D36" s="15" t="s">
        <v>355</v>
      </c>
      <c r="E36" s="1">
        <v>1</v>
      </c>
      <c r="F36" s="3">
        <v>0.18</v>
      </c>
      <c r="G36" s="1" t="s">
        <v>55</v>
      </c>
      <c r="H36" s="16" t="str">
        <f t="shared" si="0"/>
        <v>BASEBALL</v>
      </c>
      <c r="I36" s="16" t="str">
        <f t="shared" si="1"/>
        <v>PU</v>
      </c>
      <c r="J36" s="16" t="s">
        <v>356</v>
      </c>
      <c r="K36" s="17" t="str">
        <f t="shared" si="2"/>
        <v>伊丹 晋輔 [イタミ シンスケ]</v>
      </c>
      <c r="L36" s="17"/>
      <c r="M36" s="18" t="str">
        <f t="shared" si="3"/>
        <v>岡山県倉敷市玉島阿賀崎2-1-1玉島中央病院</v>
      </c>
      <c r="N36" s="19" t="str">
        <f t="shared" si="4"/>
        <v>岡山県倉敷市玉島阿賀崎2-1-1玉島中央病院</v>
      </c>
      <c r="O36" s="20" t="str">
        <f>MID(N36,MIN(IFERROR(FIND({0,1,2,3,4,5,6,7,8,9},N36),LEN(N36)+1)),LEN(N36))</f>
        <v>2-1-1玉島中央病院</v>
      </c>
      <c r="P36" s="20" t="str">
        <f t="shared" si="5"/>
        <v> 2-1-1玉島中央病院</v>
      </c>
      <c r="Q36" s="19" t="s">
        <v>357</v>
      </c>
      <c r="R36" s="21" t="s">
        <v>358</v>
      </c>
      <c r="S36" s="22" t="s">
        <v>59</v>
      </c>
      <c r="T36" s="22" t="s">
        <v>60</v>
      </c>
      <c r="U36" s="23" t="s">
        <v>61</v>
      </c>
      <c r="V36" s="23" t="s">
        <v>62</v>
      </c>
      <c r="W36" s="24"/>
      <c r="X36" s="25">
        <f t="shared" si="6"/>
        <v>5</v>
      </c>
      <c r="Y36" s="23" t="s">
        <v>63</v>
      </c>
      <c r="Z36" s="23" t="s">
        <v>62</v>
      </c>
      <c r="AA36" s="23"/>
      <c r="AB36" s="23" t="s">
        <v>64</v>
      </c>
      <c r="AD36" s="19" t="s">
        <v>356</v>
      </c>
      <c r="AE36" s="1" t="str">
        <f t="shared" si="7"/>
        <v>岡山県倉敷市玉島阿賀崎2-1-1玉島中央病院</v>
      </c>
      <c r="AF36" s="1" t="s">
        <v>358</v>
      </c>
      <c r="AG36" s="1" t="s">
        <v>357</v>
      </c>
      <c r="AH36" s="1" t="s">
        <v>359</v>
      </c>
      <c r="AI36" s="1" t="str">
        <f t="shared" si="8"/>
        <v> 大阪府大阪市浪速区日本橋５－１３－９－２０２</v>
      </c>
      <c r="AJ36" s="1" t="s">
        <v>360</v>
      </c>
      <c r="AK36" s="26" t="s">
        <v>67</v>
      </c>
      <c r="AL36" s="26">
        <v>1</v>
      </c>
      <c r="AM36" s="19" t="str">
        <f ca="1" t="shared" si="10"/>
        <v>PJP001</v>
      </c>
      <c r="AN36" s="1" t="str">
        <f ca="1" t="shared" si="9"/>
        <v/>
      </c>
      <c r="AU36" s="1" t="s">
        <v>361</v>
      </c>
      <c r="AV36" s="1" t="s">
        <v>362</v>
      </c>
      <c r="AW36" s="1" t="s">
        <v>363</v>
      </c>
      <c r="AX36" s="1" t="s">
        <v>364</v>
      </c>
      <c r="AY36" s="1" t="s">
        <v>365</v>
      </c>
      <c r="AZ36" s="1">
        <v>5</v>
      </c>
      <c r="BA36" s="1" t="s">
        <v>366</v>
      </c>
      <c r="BB36" s="1"/>
      <c r="BC36" s="1"/>
      <c r="BD36" s="1"/>
    </row>
    <row r="37" ht="33" customHeight="1" spans="1:56">
      <c r="A37" s="13" t="s">
        <v>53</v>
      </c>
      <c r="B37" s="14"/>
      <c r="C37" s="15" t="s">
        <v>367</v>
      </c>
      <c r="D37" s="15" t="s">
        <v>367</v>
      </c>
      <c r="E37" s="1">
        <v>1</v>
      </c>
      <c r="F37" s="3">
        <v>17.35</v>
      </c>
      <c r="G37" s="1" t="s">
        <v>55</v>
      </c>
      <c r="H37" s="16" t="str">
        <f t="shared" si="0"/>
        <v>PLASTIC TOYS</v>
      </c>
      <c r="I37" s="16" t="str">
        <f t="shared" si="1"/>
        <v>ABS</v>
      </c>
      <c r="J37" s="16" t="s">
        <v>368</v>
      </c>
      <c r="K37" s="17" t="str">
        <f t="shared" si="2"/>
        <v>篠崎翔太</v>
      </c>
      <c r="L37" s="17"/>
      <c r="M37" s="18" t="str">
        <f t="shared" si="3"/>
        <v>北海道札幌市東区北6条東6丁目1-2-312</v>
      </c>
      <c r="N37" s="19" t="str">
        <f t="shared" si="4"/>
        <v>北海道札幌市東区北6条東6丁目1-2-312</v>
      </c>
      <c r="O37" s="20" t="str">
        <f>MID(N37,MIN(IFERROR(FIND({0,1,2,3,4,5,6,7,8,9},N37),LEN(N37)+1)),LEN(N37))</f>
        <v>6条東6丁目1-2-312</v>
      </c>
      <c r="P37" s="20" t="str">
        <f t="shared" si="5"/>
        <v> 6条東6丁目1-2-312</v>
      </c>
      <c r="Q37" s="19" t="s">
        <v>369</v>
      </c>
      <c r="R37" s="21" t="s">
        <v>370</v>
      </c>
      <c r="S37" s="22" t="s">
        <v>59</v>
      </c>
      <c r="T37" s="22" t="s">
        <v>60</v>
      </c>
      <c r="U37" s="23" t="s">
        <v>61</v>
      </c>
      <c r="V37" s="23" t="s">
        <v>62</v>
      </c>
      <c r="W37" s="24"/>
      <c r="X37" s="25">
        <f t="shared" si="6"/>
        <v>13</v>
      </c>
      <c r="Y37" s="23" t="s">
        <v>63</v>
      </c>
      <c r="Z37" s="23" t="s">
        <v>62</v>
      </c>
      <c r="AA37" s="23"/>
      <c r="AB37" s="23" t="s">
        <v>64</v>
      </c>
      <c r="AD37" s="19" t="s">
        <v>368</v>
      </c>
      <c r="AE37" s="1" t="str">
        <f t="shared" si="7"/>
        <v>北海道札幌市東区北6条東6丁目1-2-312</v>
      </c>
      <c r="AF37" s="1" t="s">
        <v>370</v>
      </c>
      <c r="AG37" s="1" t="s">
        <v>369</v>
      </c>
      <c r="AH37" s="1"/>
      <c r="AI37" s="1" t="str">
        <f t="shared" si="8"/>
        <v> </v>
      </c>
      <c r="AJ37" s="1" t="s">
        <v>91</v>
      </c>
      <c r="AK37" s="26" t="s">
        <v>67</v>
      </c>
      <c r="AL37" s="26">
        <v>1</v>
      </c>
      <c r="AM37" s="19" t="str">
        <f ca="1" t="shared" si="10"/>
        <v>JCNZZZ</v>
      </c>
      <c r="AN37" s="1" t="str">
        <f ca="1" t="shared" si="9"/>
        <v>PingDduoDduo</v>
      </c>
      <c r="AU37" s="1"/>
      <c r="AV37" s="1"/>
      <c r="AW37" s="1" t="s">
        <v>371</v>
      </c>
      <c r="AX37" s="1" t="s">
        <v>310</v>
      </c>
      <c r="AY37" s="1" t="s">
        <v>72</v>
      </c>
      <c r="AZ37" s="1">
        <v>13.5</v>
      </c>
      <c r="BA37" s="1" t="s">
        <v>91</v>
      </c>
      <c r="BB37" s="1"/>
      <c r="BC37" s="1"/>
      <c r="BD37" s="1"/>
    </row>
    <row r="38" ht="33" customHeight="1" spans="1:56">
      <c r="A38" s="13" t="s">
        <v>53</v>
      </c>
      <c r="B38" s="14"/>
      <c r="C38" s="15" t="s">
        <v>372</v>
      </c>
      <c r="D38" s="15" t="s">
        <v>372</v>
      </c>
      <c r="E38" s="1">
        <v>1</v>
      </c>
      <c r="F38" s="3">
        <v>1.09</v>
      </c>
      <c r="G38" s="1" t="s">
        <v>55</v>
      </c>
      <c r="H38" s="16" t="str">
        <f t="shared" si="0"/>
        <v>WOODEN BLOCK</v>
      </c>
      <c r="I38" s="16" t="str">
        <f t="shared" si="1"/>
        <v>WOOD</v>
      </c>
      <c r="J38" s="16" t="s">
        <v>373</v>
      </c>
      <c r="K38" s="17" t="str">
        <f t="shared" si="2"/>
        <v>久家 瑠美</v>
      </c>
      <c r="L38" s="17"/>
      <c r="M38" s="18" t="str">
        <f t="shared" si="3"/>
        <v>大阪府大東市北条7-9-7</v>
      </c>
      <c r="N38" s="19" t="str">
        <f t="shared" si="4"/>
        <v>大阪府大東市北条7-9-7</v>
      </c>
      <c r="O38" s="20" t="str">
        <f>MID(N38,MIN(IFERROR(FIND({0,1,2,3,4,5,6,7,8,9},N38),LEN(N38)+1)),LEN(N38))</f>
        <v>7-9-7</v>
      </c>
      <c r="P38" s="20" t="str">
        <f t="shared" si="5"/>
        <v> 7-9-7</v>
      </c>
      <c r="Q38" s="19" t="s">
        <v>374</v>
      </c>
      <c r="R38" s="21" t="s">
        <v>375</v>
      </c>
      <c r="S38" s="22" t="s">
        <v>59</v>
      </c>
      <c r="T38" s="22" t="s">
        <v>60</v>
      </c>
      <c r="U38" s="23" t="s">
        <v>61</v>
      </c>
      <c r="V38" s="23" t="s">
        <v>62</v>
      </c>
      <c r="W38" s="24"/>
      <c r="X38" s="25">
        <f t="shared" si="6"/>
        <v>15</v>
      </c>
      <c r="Y38" s="23" t="s">
        <v>63</v>
      </c>
      <c r="Z38" s="23" t="s">
        <v>62</v>
      </c>
      <c r="AA38" s="23"/>
      <c r="AB38" s="23" t="s">
        <v>64</v>
      </c>
      <c r="AD38" s="19" t="s">
        <v>373</v>
      </c>
      <c r="AE38" s="1" t="str">
        <f t="shared" si="7"/>
        <v>大阪府大東市北条7-9-7</v>
      </c>
      <c r="AF38" s="1" t="s">
        <v>375</v>
      </c>
      <c r="AG38" s="1" t="s">
        <v>374</v>
      </c>
      <c r="AH38" s="1" t="s">
        <v>230</v>
      </c>
      <c r="AI38" s="1" t="str">
        <f t="shared" si="8"/>
        <v> 大阪府大阪市中央区安堂寺町2-1-3-901</v>
      </c>
      <c r="AJ38" s="1" t="s">
        <v>231</v>
      </c>
      <c r="AK38" s="26" t="s">
        <v>67</v>
      </c>
      <c r="AL38" s="26">
        <v>1</v>
      </c>
      <c r="AM38" s="19" t="str">
        <f ca="1" t="shared" si="10"/>
        <v>JCNZZZ</v>
      </c>
      <c r="AN38" s="1" t="str">
        <f ca="1" t="shared" si="9"/>
        <v>ALIBABA</v>
      </c>
      <c r="AU38" s="1" t="s">
        <v>206</v>
      </c>
      <c r="AV38" s="1" t="s">
        <v>376</v>
      </c>
      <c r="AW38" s="1" t="s">
        <v>377</v>
      </c>
      <c r="AX38" s="1" t="s">
        <v>378</v>
      </c>
      <c r="AY38" s="1" t="s">
        <v>379</v>
      </c>
      <c r="AZ38" s="1">
        <v>15</v>
      </c>
      <c r="BA38" s="1" t="s">
        <v>236</v>
      </c>
      <c r="BB38" s="1"/>
      <c r="BC38" s="1"/>
      <c r="BD38" s="1"/>
    </row>
    <row r="39" ht="33" customHeight="1" spans="1:56">
      <c r="A39" s="13" t="s">
        <v>53</v>
      </c>
      <c r="B39" s="14"/>
      <c r="C39" s="15" t="s">
        <v>380</v>
      </c>
      <c r="D39" s="15" t="s">
        <v>380</v>
      </c>
      <c r="E39" s="1">
        <v>1</v>
      </c>
      <c r="F39" s="3">
        <v>0.29</v>
      </c>
      <c r="G39" s="1" t="s">
        <v>55</v>
      </c>
      <c r="H39" s="16" t="str">
        <f t="shared" si="0"/>
        <v>OUTDOOR LIGHT</v>
      </c>
      <c r="I39" s="16" t="str">
        <f t="shared" si="1"/>
        <v>ABS</v>
      </c>
      <c r="J39" s="16" t="s">
        <v>381</v>
      </c>
      <c r="K39" s="17" t="str">
        <f t="shared" si="2"/>
        <v>高橋 佐代 [タカハシ サヨ]</v>
      </c>
      <c r="L39" s="17"/>
      <c r="M39" s="18" t="str">
        <f t="shared" si="3"/>
        <v>埼玉県北本市本宿5-58</v>
      </c>
      <c r="N39" s="19" t="str">
        <f t="shared" si="4"/>
        <v>埼玉県北本市本宿5-58</v>
      </c>
      <c r="O39" s="20" t="str">
        <f>MID(N39,MIN(IFERROR(FIND({0,1,2,3,4,5,6,7,8,9},N39),LEN(N39)+1)),LEN(N39))</f>
        <v>5-58</v>
      </c>
      <c r="P39" s="20" t="str">
        <f t="shared" si="5"/>
        <v> 5-58</v>
      </c>
      <c r="Q39" s="19" t="s">
        <v>382</v>
      </c>
      <c r="R39" s="21" t="s">
        <v>383</v>
      </c>
      <c r="S39" s="22" t="s">
        <v>59</v>
      </c>
      <c r="T39" s="22" t="s">
        <v>60</v>
      </c>
      <c r="U39" s="23" t="s">
        <v>61</v>
      </c>
      <c r="V39" s="23" t="s">
        <v>62</v>
      </c>
      <c r="W39" s="24"/>
      <c r="X39" s="25">
        <f t="shared" si="6"/>
        <v>9</v>
      </c>
      <c r="Y39" s="23" t="s">
        <v>63</v>
      </c>
      <c r="Z39" s="23" t="s">
        <v>62</v>
      </c>
      <c r="AA39" s="23"/>
      <c r="AB39" s="23" t="s">
        <v>64</v>
      </c>
      <c r="AD39" s="19" t="s">
        <v>381</v>
      </c>
      <c r="AE39" s="1" t="str">
        <f t="shared" si="7"/>
        <v>埼玉県北本市本宿5-58</v>
      </c>
      <c r="AF39" s="1" t="s">
        <v>383</v>
      </c>
      <c r="AG39" s="1" t="s">
        <v>382</v>
      </c>
      <c r="AH39" s="1" t="s">
        <v>384</v>
      </c>
      <c r="AI39" s="1" t="str">
        <f t="shared" si="8"/>
        <v> 内本町2‐3‐8</v>
      </c>
      <c r="AJ39" s="1" t="s">
        <v>385</v>
      </c>
      <c r="AK39" s="26" t="s">
        <v>67</v>
      </c>
      <c r="AL39" s="26">
        <v>1</v>
      </c>
      <c r="AM39" s="19" t="str">
        <f ca="1" t="shared" si="10"/>
        <v>PJP001</v>
      </c>
      <c r="AN39" s="1" t="str">
        <f ca="1" t="shared" si="9"/>
        <v/>
      </c>
      <c r="AU39" s="1" t="s">
        <v>265</v>
      </c>
      <c r="AV39" s="1" t="s">
        <v>386</v>
      </c>
      <c r="AW39" s="1" t="s">
        <v>387</v>
      </c>
      <c r="AX39" s="1" t="s">
        <v>388</v>
      </c>
      <c r="AY39" s="1" t="s">
        <v>72</v>
      </c>
      <c r="AZ39" s="1">
        <v>9.63</v>
      </c>
      <c r="BA39" s="1" t="s">
        <v>389</v>
      </c>
      <c r="BB39" s="1"/>
      <c r="BC39" s="1"/>
      <c r="BD39" s="1"/>
    </row>
    <row r="40" ht="33" customHeight="1" spans="1:56">
      <c r="A40" s="13" t="s">
        <v>53</v>
      </c>
      <c r="B40" s="14"/>
      <c r="C40" s="15" t="s">
        <v>390</v>
      </c>
      <c r="D40" s="15" t="s">
        <v>390</v>
      </c>
      <c r="E40" s="1">
        <v>1</v>
      </c>
      <c r="F40" s="3">
        <v>0.17</v>
      </c>
      <c r="G40" s="1" t="s">
        <v>55</v>
      </c>
      <c r="H40" s="16" t="str">
        <f t="shared" si="0"/>
        <v>PLASTIC TOYS</v>
      </c>
      <c r="I40" s="16" t="str">
        <f t="shared" si="1"/>
        <v>ABS</v>
      </c>
      <c r="J40" s="16" t="s">
        <v>391</v>
      </c>
      <c r="K40" s="17" t="str">
        <f t="shared" si="2"/>
        <v>久木隆一郎</v>
      </c>
      <c r="L40" s="17"/>
      <c r="M40" s="18" t="str">
        <f t="shared" si="3"/>
        <v>鳥取県米子市旗ヶ崎2丁目11-39アビタシオンドゥ601</v>
      </c>
      <c r="N40" s="19" t="str">
        <f t="shared" si="4"/>
        <v>鳥取県米子市旗ヶ崎2丁目11-39アビタシオンドゥ601</v>
      </c>
      <c r="O40" s="20" t="str">
        <f>MID(N40,MIN(IFERROR(FIND({0,1,2,3,4,5,6,7,8,9},N40),LEN(N40)+1)),LEN(N40))</f>
        <v>2丁目11-39アビタシオンドゥ601</v>
      </c>
      <c r="P40" s="20" t="str">
        <f t="shared" si="5"/>
        <v> 2丁目11-39アビタシオンドゥ601</v>
      </c>
      <c r="Q40" s="19" t="s">
        <v>392</v>
      </c>
      <c r="R40" s="21" t="s">
        <v>393</v>
      </c>
      <c r="S40" s="22" t="s">
        <v>59</v>
      </c>
      <c r="T40" s="22" t="s">
        <v>60</v>
      </c>
      <c r="U40" s="23" t="s">
        <v>61</v>
      </c>
      <c r="V40" s="23" t="s">
        <v>62</v>
      </c>
      <c r="W40" s="24"/>
      <c r="X40" s="25">
        <f t="shared" si="6"/>
        <v>12</v>
      </c>
      <c r="Y40" s="23" t="s">
        <v>63</v>
      </c>
      <c r="Z40" s="23" t="s">
        <v>62</v>
      </c>
      <c r="AA40" s="23"/>
      <c r="AB40" s="23" t="s">
        <v>64</v>
      </c>
      <c r="AD40" s="19" t="s">
        <v>391</v>
      </c>
      <c r="AE40" s="1" t="str">
        <f t="shared" si="7"/>
        <v>鳥取県米子市旗ヶ崎2丁目11-39アビタシオンドゥ601</v>
      </c>
      <c r="AF40" s="1" t="s">
        <v>393</v>
      </c>
      <c r="AG40" s="1" t="s">
        <v>392</v>
      </c>
      <c r="AH40" s="1"/>
      <c r="AI40" s="1" t="str">
        <f t="shared" si="8"/>
        <v> </v>
      </c>
      <c r="AJ40" s="1" t="s">
        <v>91</v>
      </c>
      <c r="AK40" s="26" t="s">
        <v>67</v>
      </c>
      <c r="AL40" s="26">
        <v>1</v>
      </c>
      <c r="AM40" s="19" t="str">
        <f ca="1" t="shared" si="10"/>
        <v>JCNZZZ</v>
      </c>
      <c r="AN40" s="1" t="str">
        <f ca="1" t="shared" si="9"/>
        <v>ALIBABA</v>
      </c>
      <c r="AU40" s="1"/>
      <c r="AV40" s="1"/>
      <c r="AW40" s="1" t="s">
        <v>394</v>
      </c>
      <c r="AX40" s="1" t="s">
        <v>310</v>
      </c>
      <c r="AY40" s="1" t="s">
        <v>72</v>
      </c>
      <c r="AZ40" s="1">
        <v>12.8</v>
      </c>
      <c r="BA40" s="1" t="s">
        <v>91</v>
      </c>
      <c r="BB40" s="1"/>
      <c r="BC40" s="1"/>
      <c r="BD40" s="1"/>
    </row>
    <row r="41" ht="33" customHeight="1" spans="1:56">
      <c r="A41" s="13" t="s">
        <v>53</v>
      </c>
      <c r="B41" s="14"/>
      <c r="C41" s="15" t="s">
        <v>395</v>
      </c>
      <c r="D41" s="15" t="s">
        <v>395</v>
      </c>
      <c r="E41" s="1">
        <v>1</v>
      </c>
      <c r="F41" s="3">
        <v>0.49</v>
      </c>
      <c r="G41" s="1" t="s">
        <v>55</v>
      </c>
      <c r="H41" s="16" t="str">
        <f t="shared" si="0"/>
        <v>ASHTRAY</v>
      </c>
      <c r="I41" s="16" t="str">
        <f t="shared" si="1"/>
        <v>PLASTIC</v>
      </c>
      <c r="J41" s="16" t="s">
        <v>396</v>
      </c>
      <c r="K41" s="17" t="str">
        <f t="shared" si="2"/>
        <v>横井川 ノリ子</v>
      </c>
      <c r="L41" s="17"/>
      <c r="M41" s="18" t="str">
        <f t="shared" si="3"/>
        <v>栃木県下都賀郡壬生町幸町1-5-3</v>
      </c>
      <c r="N41" s="19" t="str">
        <f t="shared" si="4"/>
        <v>栃木県下都賀郡壬生町幸町1-5-3</v>
      </c>
      <c r="O41" s="20" t="str">
        <f>MID(N41,MIN(IFERROR(FIND({0,1,2,3,4,5,6,7,8,9},N41),LEN(N41)+1)),LEN(N41))</f>
        <v>1-5-3</v>
      </c>
      <c r="P41" s="20" t="str">
        <f t="shared" si="5"/>
        <v> 1-5-3</v>
      </c>
      <c r="Q41" s="19" t="s">
        <v>397</v>
      </c>
      <c r="R41" s="21" t="s">
        <v>398</v>
      </c>
      <c r="S41" s="22" t="s">
        <v>59</v>
      </c>
      <c r="T41" s="22" t="s">
        <v>60</v>
      </c>
      <c r="U41" s="23" t="s">
        <v>61</v>
      </c>
      <c r="V41" s="23" t="s">
        <v>62</v>
      </c>
      <c r="W41" s="24"/>
      <c r="X41" s="25">
        <f t="shared" si="6"/>
        <v>30</v>
      </c>
      <c r="Y41" s="23" t="s">
        <v>63</v>
      </c>
      <c r="Z41" s="23" t="s">
        <v>62</v>
      </c>
      <c r="AA41" s="23"/>
      <c r="AB41" s="23" t="s">
        <v>64</v>
      </c>
      <c r="AD41" s="19" t="s">
        <v>396</v>
      </c>
      <c r="AE41" s="1" t="str">
        <f t="shared" si="7"/>
        <v>栃木県下都賀郡壬生町幸町1-5-3</v>
      </c>
      <c r="AF41" s="1" t="s">
        <v>398</v>
      </c>
      <c r="AG41" s="1" t="s">
        <v>397</v>
      </c>
      <c r="AH41" s="1" t="s">
        <v>86</v>
      </c>
      <c r="AI41" s="1" t="str">
        <f t="shared" si="8"/>
        <v>大阪府堺市 中百舌鳥町6丁目１００１-5盲亀浮木の店</v>
      </c>
      <c r="AJ41" s="1" t="s">
        <v>200</v>
      </c>
      <c r="AK41" s="26" t="s">
        <v>67</v>
      </c>
      <c r="AL41" s="26">
        <v>1</v>
      </c>
      <c r="AM41" s="19" t="str">
        <f ca="1" t="shared" si="10"/>
        <v>JCNZZZ</v>
      </c>
      <c r="AN41" s="1" t="str">
        <f ca="1" t="shared" si="9"/>
        <v>ALIBABA</v>
      </c>
      <c r="AU41" s="1" t="s">
        <v>399</v>
      </c>
      <c r="AV41" s="1" t="s">
        <v>400</v>
      </c>
      <c r="AW41" s="1" t="s">
        <v>401</v>
      </c>
      <c r="AX41" s="1" t="s">
        <v>402</v>
      </c>
      <c r="AY41" s="1" t="s">
        <v>94</v>
      </c>
      <c r="AZ41" s="1">
        <v>30.89</v>
      </c>
      <c r="BA41" s="1" t="s">
        <v>205</v>
      </c>
      <c r="BB41" s="1" t="s">
        <v>206</v>
      </c>
      <c r="BC41" s="1" t="s">
        <v>207</v>
      </c>
      <c r="BD41" s="1" t="s">
        <v>86</v>
      </c>
    </row>
    <row r="42" ht="33" customHeight="1" spans="1:56">
      <c r="A42" s="13" t="s">
        <v>53</v>
      </c>
      <c r="B42" s="14"/>
      <c r="C42" s="15" t="s">
        <v>403</v>
      </c>
      <c r="D42" s="15" t="s">
        <v>403</v>
      </c>
      <c r="E42" s="1">
        <v>1</v>
      </c>
      <c r="F42" s="3">
        <v>0.29</v>
      </c>
      <c r="G42" s="1" t="s">
        <v>55</v>
      </c>
      <c r="H42" s="16" t="str">
        <f t="shared" si="0"/>
        <v>HUMIDIFIER</v>
      </c>
      <c r="I42" s="16" t="str">
        <f t="shared" si="1"/>
        <v>ABS</v>
      </c>
      <c r="J42" s="16" t="s">
        <v>404</v>
      </c>
      <c r="K42" s="17" t="str">
        <f t="shared" si="2"/>
        <v>田口真大朗</v>
      </c>
      <c r="L42" s="17"/>
      <c r="M42" s="18" t="str">
        <f t="shared" si="3"/>
        <v>大阪府大阪市中央区高津3-2-34 ホワイトハイツ601</v>
      </c>
      <c r="N42" s="19" t="str">
        <f t="shared" si="4"/>
        <v>大阪府大阪市中央区高津3-2-34 ホワイトハイツ601</v>
      </c>
      <c r="O42" s="20" t="str">
        <f>MID(N42,MIN(IFERROR(FIND({0,1,2,3,4,5,6,7,8,9},N42),LEN(N42)+1)),LEN(N42))</f>
        <v>3-2-34 ホワイトハイツ601</v>
      </c>
      <c r="P42" s="20" t="str">
        <f t="shared" si="5"/>
        <v> 3-2-34 ホワイトハイツ601</v>
      </c>
      <c r="Q42" s="19" t="s">
        <v>405</v>
      </c>
      <c r="R42" s="21" t="s">
        <v>406</v>
      </c>
      <c r="S42" s="22" t="s">
        <v>59</v>
      </c>
      <c r="T42" s="22" t="s">
        <v>60</v>
      </c>
      <c r="U42" s="23" t="s">
        <v>61</v>
      </c>
      <c r="V42" s="23" t="s">
        <v>62</v>
      </c>
      <c r="W42" s="24"/>
      <c r="X42" s="25">
        <f t="shared" si="6"/>
        <v>10</v>
      </c>
      <c r="Y42" s="23" t="s">
        <v>63</v>
      </c>
      <c r="Z42" s="23" t="s">
        <v>62</v>
      </c>
      <c r="AA42" s="23"/>
      <c r="AB42" s="23" t="s">
        <v>64</v>
      </c>
      <c r="AD42" s="19" t="s">
        <v>404</v>
      </c>
      <c r="AE42" s="1" t="str">
        <f t="shared" si="7"/>
        <v>大阪府大阪市中央区高津3-2-34 ホワイトハイツ601</v>
      </c>
      <c r="AF42" s="1" t="s">
        <v>406</v>
      </c>
      <c r="AG42" s="1" t="s">
        <v>405</v>
      </c>
      <c r="AH42" s="1"/>
      <c r="AI42" s="1" t="str">
        <f t="shared" si="8"/>
        <v> </v>
      </c>
      <c r="AJ42" s="1" t="s">
        <v>91</v>
      </c>
      <c r="AK42" s="26" t="s">
        <v>67</v>
      </c>
      <c r="AL42" s="26">
        <v>1</v>
      </c>
      <c r="AM42" s="19" t="str">
        <f ca="1" t="shared" si="10"/>
        <v>JCNZZZ</v>
      </c>
      <c r="AN42" s="1" t="str">
        <f ca="1" t="shared" si="9"/>
        <v>TAOBAO0</v>
      </c>
      <c r="AU42" s="1"/>
      <c r="AV42" s="1"/>
      <c r="AW42" s="1" t="s">
        <v>407</v>
      </c>
      <c r="AX42" s="1" t="s">
        <v>408</v>
      </c>
      <c r="AY42" s="1" t="s">
        <v>72</v>
      </c>
      <c r="AZ42" s="1">
        <v>10</v>
      </c>
      <c r="BA42" s="1" t="s">
        <v>91</v>
      </c>
      <c r="BB42" s="1"/>
      <c r="BC42" s="1"/>
      <c r="BD42" s="1"/>
    </row>
    <row r="43" ht="33" customHeight="1" spans="1:56">
      <c r="A43" s="13" t="s">
        <v>53</v>
      </c>
      <c r="B43" s="14"/>
      <c r="C43" s="15" t="s">
        <v>409</v>
      </c>
      <c r="D43" s="15" t="s">
        <v>409</v>
      </c>
      <c r="E43" s="1">
        <v>1</v>
      </c>
      <c r="F43" s="3">
        <v>0.24</v>
      </c>
      <c r="G43" s="1" t="s">
        <v>55</v>
      </c>
      <c r="H43" s="16" t="str">
        <f t="shared" si="0"/>
        <v>CLEANING BRUSH</v>
      </c>
      <c r="I43" s="16" t="str">
        <f t="shared" si="1"/>
        <v>304 STAINLESS STEEL</v>
      </c>
      <c r="J43" s="16" t="s">
        <v>410</v>
      </c>
      <c r="K43" s="17" t="str">
        <f t="shared" si="2"/>
        <v>永井 恵美</v>
      </c>
      <c r="L43" s="17"/>
      <c r="M43" s="18" t="str">
        <f t="shared" si="3"/>
        <v>三重県南牟婁郡紀宝町井田1598</v>
      </c>
      <c r="N43" s="19" t="str">
        <f t="shared" si="4"/>
        <v>三重県南牟婁郡紀宝町井田1598</v>
      </c>
      <c r="O43" s="20" t="str">
        <f>MID(N43,MIN(IFERROR(FIND({0,1,2,3,4,5,6,7,8,9},N43),LEN(N43)+1)),LEN(N43))</f>
        <v>1598</v>
      </c>
      <c r="P43" s="20" t="str">
        <f t="shared" si="5"/>
        <v> 1598</v>
      </c>
      <c r="Q43" s="19" t="s">
        <v>411</v>
      </c>
      <c r="R43" s="21" t="s">
        <v>412</v>
      </c>
      <c r="S43" s="22" t="s">
        <v>59</v>
      </c>
      <c r="T43" s="22" t="s">
        <v>60</v>
      </c>
      <c r="U43" s="23" t="s">
        <v>61</v>
      </c>
      <c r="V43" s="23" t="s">
        <v>62</v>
      </c>
      <c r="W43" s="24"/>
      <c r="X43" s="25">
        <f t="shared" si="6"/>
        <v>15</v>
      </c>
      <c r="Y43" s="23" t="s">
        <v>63</v>
      </c>
      <c r="Z43" s="23" t="s">
        <v>62</v>
      </c>
      <c r="AA43" s="23"/>
      <c r="AB43" s="23" t="s">
        <v>64</v>
      </c>
      <c r="AD43" s="19" t="s">
        <v>410</v>
      </c>
      <c r="AE43" s="1" t="str">
        <f t="shared" si="7"/>
        <v>三重県南牟婁郡紀宝町井田1598</v>
      </c>
      <c r="AF43" s="1" t="s">
        <v>412</v>
      </c>
      <c r="AG43" s="1" t="s">
        <v>411</v>
      </c>
      <c r="AH43" s="1" t="s">
        <v>113</v>
      </c>
      <c r="AI43" s="1" t="str">
        <f t="shared" si="8"/>
        <v> 東京都大田区上池台３－２４－１４スターハイツ洗足池２　２０２</v>
      </c>
      <c r="AJ43" s="1" t="s">
        <v>114</v>
      </c>
      <c r="AK43" s="26" t="s">
        <v>67</v>
      </c>
      <c r="AL43" s="26">
        <v>1</v>
      </c>
      <c r="AM43" s="19" t="str">
        <f ca="1" t="shared" si="10"/>
        <v>PJP001</v>
      </c>
      <c r="AN43" s="1" t="str">
        <f ca="1" t="shared" si="9"/>
        <v/>
      </c>
      <c r="AU43" s="1" t="s">
        <v>80</v>
      </c>
      <c r="AV43" s="1" t="s">
        <v>413</v>
      </c>
      <c r="AW43" s="1" t="s">
        <v>414</v>
      </c>
      <c r="AX43" s="1" t="s">
        <v>415</v>
      </c>
      <c r="AY43" s="1" t="s">
        <v>416</v>
      </c>
      <c r="AZ43" s="1">
        <v>15</v>
      </c>
      <c r="BA43" s="1" t="s">
        <v>120</v>
      </c>
      <c r="BB43" s="1"/>
      <c r="BC43" s="1"/>
      <c r="BD43" s="1"/>
    </row>
    <row r="44" ht="33" customHeight="1" spans="1:56">
      <c r="A44" s="13" t="s">
        <v>53</v>
      </c>
      <c r="B44" s="14"/>
      <c r="C44" s="15" t="s">
        <v>417</v>
      </c>
      <c r="D44" s="15" t="s">
        <v>417</v>
      </c>
      <c r="E44" s="1">
        <v>1</v>
      </c>
      <c r="F44" s="3">
        <v>0.42</v>
      </c>
      <c r="G44" s="1" t="s">
        <v>55</v>
      </c>
      <c r="H44" s="16" t="str">
        <f t="shared" si="0"/>
        <v>DOORBELL</v>
      </c>
      <c r="I44" s="16" t="str">
        <f t="shared" si="1"/>
        <v>ABS</v>
      </c>
      <c r="J44" s="16" t="s">
        <v>418</v>
      </c>
      <c r="K44" s="17" t="str">
        <f t="shared" si="2"/>
        <v>長谷川資洋 (エスアイエイジェンシー依頼分)</v>
      </c>
      <c r="L44" s="17"/>
      <c r="M44" s="18" t="str">
        <f t="shared" si="3"/>
        <v>栃木県日光市高徳38番地3 サンクチュアリコート日光 購買部 フロント29</v>
      </c>
      <c r="N44" s="19" t="str">
        <f t="shared" si="4"/>
        <v>栃木県日光市高徳38番地3 サンクチュアリコート日光 購買部 フロント29</v>
      </c>
      <c r="O44" s="20" t="str">
        <f>MID(N44,MIN(IFERROR(FIND({0,1,2,3,4,5,6,7,8,9},N44),LEN(N44)+1)),LEN(N44))</f>
        <v>38番地3 サンクチュアリコート日光 購買部 フロント29</v>
      </c>
      <c r="P44" s="20" t="str">
        <f t="shared" si="5"/>
        <v> 38番地3 サンクチュアリコート日光 購買部 フロント29</v>
      </c>
      <c r="Q44" s="19" t="s">
        <v>419</v>
      </c>
      <c r="R44" s="21" t="s">
        <v>420</v>
      </c>
      <c r="S44" s="22" t="s">
        <v>59</v>
      </c>
      <c r="T44" s="22" t="s">
        <v>60</v>
      </c>
      <c r="U44" s="23" t="s">
        <v>61</v>
      </c>
      <c r="V44" s="23" t="s">
        <v>62</v>
      </c>
      <c r="W44" s="24"/>
      <c r="X44" s="25">
        <f t="shared" si="6"/>
        <v>17</v>
      </c>
      <c r="Y44" s="23" t="s">
        <v>63</v>
      </c>
      <c r="Z44" s="23" t="s">
        <v>62</v>
      </c>
      <c r="AA44" s="23"/>
      <c r="AB44" s="23" t="s">
        <v>64</v>
      </c>
      <c r="AD44" s="19" t="s">
        <v>418</v>
      </c>
      <c r="AE44" s="1" t="str">
        <f t="shared" si="7"/>
        <v>栃木県日光市高徳38番地3 サンクチュアリコート日光 購買部 フロント29</v>
      </c>
      <c r="AF44" s="1" t="s">
        <v>420</v>
      </c>
      <c r="AG44" s="1" t="s">
        <v>419</v>
      </c>
      <c r="AH44" s="1" t="s">
        <v>125</v>
      </c>
      <c r="AI44" s="1" t="str">
        <f t="shared" si="8"/>
        <v> 滋賀県甲賀市甲南町野尻558</v>
      </c>
      <c r="AJ44" s="1" t="s">
        <v>126</v>
      </c>
      <c r="AK44" s="26" t="s">
        <v>67</v>
      </c>
      <c r="AL44" s="26">
        <v>1</v>
      </c>
      <c r="AM44" s="19" t="str">
        <f ca="1" t="shared" si="10"/>
        <v>PJP001</v>
      </c>
      <c r="AN44" s="1" t="str">
        <f ca="1" t="shared" si="9"/>
        <v/>
      </c>
      <c r="AU44" s="1" t="s">
        <v>399</v>
      </c>
      <c r="AV44" s="1" t="s">
        <v>421</v>
      </c>
      <c r="AW44" s="1" t="s">
        <v>422</v>
      </c>
      <c r="AX44" s="1" t="s">
        <v>423</v>
      </c>
      <c r="AY44" s="1" t="s">
        <v>424</v>
      </c>
      <c r="AZ44" s="1">
        <v>17</v>
      </c>
      <c r="BA44" s="1" t="s">
        <v>132</v>
      </c>
      <c r="BB44" s="1"/>
      <c r="BC44" s="1"/>
      <c r="BD44" s="1"/>
    </row>
    <row r="45" ht="33" customHeight="1" spans="1:56">
      <c r="A45" s="13" t="s">
        <v>53</v>
      </c>
      <c r="B45" s="14"/>
      <c r="C45" s="15" t="s">
        <v>425</v>
      </c>
      <c r="D45" s="15" t="s">
        <v>425</v>
      </c>
      <c r="E45" s="1">
        <v>1</v>
      </c>
      <c r="F45" s="3">
        <v>0.45</v>
      </c>
      <c r="G45" s="1" t="s">
        <v>55</v>
      </c>
      <c r="H45" s="16" t="str">
        <f t="shared" si="0"/>
        <v>LAMP</v>
      </c>
      <c r="I45" s="16" t="str">
        <f t="shared" si="1"/>
        <v>STAINLESS STEEL</v>
      </c>
      <c r="J45" s="16" t="s">
        <v>426</v>
      </c>
      <c r="K45" s="17" t="str">
        <f t="shared" si="2"/>
        <v>伊藤 珠子</v>
      </c>
      <c r="L45" s="17"/>
      <c r="M45" s="18" t="str">
        <f t="shared" si="3"/>
        <v>愛知県豊橋市大清水町字大清水444-1</v>
      </c>
      <c r="N45" s="19" t="str">
        <f t="shared" si="4"/>
        <v>愛知県豊橋市大清水町字大清水444-1</v>
      </c>
      <c r="O45" s="20" t="str">
        <f>MID(N45,MIN(IFERROR(FIND({0,1,2,3,4,5,6,7,8,9},N45),LEN(N45)+1)),LEN(N45))</f>
        <v>444-1</v>
      </c>
      <c r="P45" s="20" t="str">
        <f t="shared" si="5"/>
        <v> 444-1</v>
      </c>
      <c r="Q45" s="19" t="s">
        <v>427</v>
      </c>
      <c r="R45" s="21" t="s">
        <v>428</v>
      </c>
      <c r="S45" s="22" t="s">
        <v>59</v>
      </c>
      <c r="T45" s="22" t="s">
        <v>60</v>
      </c>
      <c r="U45" s="23" t="s">
        <v>61</v>
      </c>
      <c r="V45" s="23" t="s">
        <v>62</v>
      </c>
      <c r="W45" s="24"/>
      <c r="X45" s="25">
        <f t="shared" si="6"/>
        <v>17</v>
      </c>
      <c r="Y45" s="23" t="s">
        <v>63</v>
      </c>
      <c r="Z45" s="23" t="s">
        <v>62</v>
      </c>
      <c r="AA45" s="23"/>
      <c r="AB45" s="23" t="s">
        <v>64</v>
      </c>
      <c r="AD45" s="19" t="s">
        <v>426</v>
      </c>
      <c r="AE45" s="1" t="str">
        <f t="shared" si="7"/>
        <v>愛知県豊橋市大清水町字大清水444-1</v>
      </c>
      <c r="AF45" s="1" t="s">
        <v>428</v>
      </c>
      <c r="AG45" s="1" t="s">
        <v>427</v>
      </c>
      <c r="AH45" s="1" t="s">
        <v>230</v>
      </c>
      <c r="AI45" s="1" t="str">
        <f t="shared" si="8"/>
        <v> 大阪府大阪市中央区安堂寺町2-1-3-901</v>
      </c>
      <c r="AJ45" s="1" t="s">
        <v>231</v>
      </c>
      <c r="AK45" s="26" t="s">
        <v>67</v>
      </c>
      <c r="AL45" s="26">
        <v>1</v>
      </c>
      <c r="AM45" s="19" t="str">
        <f ca="1" t="shared" si="10"/>
        <v>JCNZZZ</v>
      </c>
      <c r="AN45" s="1" t="str">
        <f ca="1" t="shared" si="9"/>
        <v>TAOBAO0</v>
      </c>
      <c r="AU45" s="1" t="s">
        <v>137</v>
      </c>
      <c r="AV45" s="1" t="s">
        <v>429</v>
      </c>
      <c r="AW45" s="1" t="s">
        <v>430</v>
      </c>
      <c r="AX45" s="1" t="s">
        <v>170</v>
      </c>
      <c r="AY45" s="1" t="s">
        <v>225</v>
      </c>
      <c r="AZ45" s="1">
        <v>17</v>
      </c>
      <c r="BA45" s="1" t="s">
        <v>236</v>
      </c>
      <c r="BB45" s="1"/>
      <c r="BC45" s="1"/>
      <c r="BD45" s="1"/>
    </row>
    <row r="46" ht="33" customHeight="1" spans="1:56">
      <c r="A46" s="13" t="s">
        <v>53</v>
      </c>
      <c r="B46" s="14"/>
      <c r="C46" s="15" t="s">
        <v>431</v>
      </c>
      <c r="D46" s="15" t="s">
        <v>431</v>
      </c>
      <c r="E46" s="1">
        <v>1</v>
      </c>
      <c r="F46" s="3">
        <v>0.42</v>
      </c>
      <c r="G46" s="1" t="s">
        <v>55</v>
      </c>
      <c r="H46" s="16" t="str">
        <f t="shared" si="0"/>
        <v>TOY</v>
      </c>
      <c r="I46" s="16" t="str">
        <f t="shared" si="1"/>
        <v>ABS</v>
      </c>
      <c r="J46" s="16" t="s">
        <v>432</v>
      </c>
      <c r="K46" s="17" t="str">
        <f t="shared" si="2"/>
        <v>原島 健二 [ハラシマ ケンジ]</v>
      </c>
      <c r="L46" s="17"/>
      <c r="M46" s="18" t="str">
        <f t="shared" si="3"/>
        <v>北海道札幌市厚別区厚別中央二条2-9-7 トラスコートひばりが丘302</v>
      </c>
      <c r="N46" s="19" t="str">
        <f t="shared" si="4"/>
        <v>北海道札幌市厚別区厚別中央二条2-9-7 トラスコートひばりが丘302</v>
      </c>
      <c r="O46" s="20" t="str">
        <f>MID(N46,MIN(IFERROR(FIND({0,1,2,3,4,5,6,7,8,9},N46),LEN(N46)+1)),LEN(N46))</f>
        <v>2-9-7 トラスコートひばりが丘302</v>
      </c>
      <c r="P46" s="20" t="str">
        <f t="shared" si="5"/>
        <v> 2-9-7 トラスコートひばりが丘302</v>
      </c>
      <c r="Q46" s="19" t="s">
        <v>433</v>
      </c>
      <c r="R46" s="21" t="s">
        <v>434</v>
      </c>
      <c r="S46" s="22" t="s">
        <v>59</v>
      </c>
      <c r="T46" s="22" t="s">
        <v>60</v>
      </c>
      <c r="U46" s="23" t="s">
        <v>61</v>
      </c>
      <c r="V46" s="23" t="s">
        <v>62</v>
      </c>
      <c r="W46" s="24"/>
      <c r="X46" s="25">
        <f t="shared" si="6"/>
        <v>4</v>
      </c>
      <c r="Y46" s="23" t="s">
        <v>63</v>
      </c>
      <c r="Z46" s="23" t="s">
        <v>62</v>
      </c>
      <c r="AA46" s="23"/>
      <c r="AB46" s="23" t="s">
        <v>64</v>
      </c>
      <c r="AD46" s="19" t="s">
        <v>432</v>
      </c>
      <c r="AE46" s="1" t="str">
        <f t="shared" si="7"/>
        <v>北海道札幌市厚別区厚別中央二条2-9-7 トラスコートひばりが丘302</v>
      </c>
      <c r="AF46" s="1" t="s">
        <v>434</v>
      </c>
      <c r="AG46" s="1" t="s">
        <v>433</v>
      </c>
      <c r="AH46" s="1" t="s">
        <v>65</v>
      </c>
      <c r="AI46" s="1" t="str">
        <f t="shared" si="8"/>
        <v> 東京都稲城市平尾１－１４－１７</v>
      </c>
      <c r="AJ46" s="1" t="s">
        <v>66</v>
      </c>
      <c r="AK46" s="26" t="s">
        <v>67</v>
      </c>
      <c r="AL46" s="26">
        <v>1</v>
      </c>
      <c r="AM46" s="19" t="str">
        <f ca="1" t="shared" si="10"/>
        <v>PJP001</v>
      </c>
      <c r="AN46" s="1" t="str">
        <f ca="1" t="shared" si="9"/>
        <v/>
      </c>
      <c r="AU46" s="1" t="s">
        <v>115</v>
      </c>
      <c r="AV46" s="1" t="s">
        <v>435</v>
      </c>
      <c r="AW46" s="1" t="s">
        <v>436</v>
      </c>
      <c r="AX46" s="1" t="s">
        <v>319</v>
      </c>
      <c r="AY46" s="1" t="s">
        <v>72</v>
      </c>
      <c r="AZ46" s="1">
        <v>4</v>
      </c>
      <c r="BA46" s="1" t="s">
        <v>73</v>
      </c>
      <c r="BB46" s="1"/>
      <c r="BC46" s="1"/>
      <c r="BD46" s="1"/>
    </row>
    <row r="47" ht="33" customHeight="1" spans="1:56">
      <c r="A47" s="13" t="s">
        <v>53</v>
      </c>
      <c r="B47" s="14"/>
      <c r="C47" s="15" t="s">
        <v>437</v>
      </c>
      <c r="D47" s="15" t="s">
        <v>437</v>
      </c>
      <c r="E47" s="1">
        <v>1</v>
      </c>
      <c r="F47" s="3">
        <v>0.46</v>
      </c>
      <c r="G47" s="1" t="s">
        <v>55</v>
      </c>
      <c r="H47" s="16" t="str">
        <f t="shared" si="0"/>
        <v>ORNAMENTS</v>
      </c>
      <c r="I47" s="16" t="str">
        <f t="shared" si="1"/>
        <v>COPPER</v>
      </c>
      <c r="J47" s="16" t="s">
        <v>438</v>
      </c>
      <c r="K47" s="17" t="str">
        <f t="shared" si="2"/>
        <v>水阪 由美</v>
      </c>
      <c r="L47" s="17"/>
      <c r="M47" s="18" t="str">
        <f t="shared" si="3"/>
        <v>大阪府大阪市西区新町2-16-17アーデンタワー新町1101号</v>
      </c>
      <c r="N47" s="19" t="str">
        <f t="shared" si="4"/>
        <v>大阪府大阪市西区新町2-16-17アーデンタワー新町1101号</v>
      </c>
      <c r="O47" s="20" t="str">
        <f>MID(N47,MIN(IFERROR(FIND({0,1,2,3,4,5,6,7,8,9},N47),LEN(N47)+1)),LEN(N47))</f>
        <v>2-16-17アーデンタワー新町1101号</v>
      </c>
      <c r="P47" s="20" t="str">
        <f t="shared" si="5"/>
        <v> 2-16-17アーデンタワー新町1101号</v>
      </c>
      <c r="Q47" s="19" t="s">
        <v>439</v>
      </c>
      <c r="R47" s="21" t="s">
        <v>440</v>
      </c>
      <c r="S47" s="22" t="s">
        <v>59</v>
      </c>
      <c r="T47" s="22" t="s">
        <v>60</v>
      </c>
      <c r="U47" s="23" t="s">
        <v>61</v>
      </c>
      <c r="V47" s="23" t="s">
        <v>62</v>
      </c>
      <c r="W47" s="24"/>
      <c r="X47" s="25">
        <f t="shared" si="6"/>
        <v>14</v>
      </c>
      <c r="Y47" s="23" t="s">
        <v>63</v>
      </c>
      <c r="Z47" s="23" t="s">
        <v>62</v>
      </c>
      <c r="AA47" s="23"/>
      <c r="AB47" s="23" t="s">
        <v>64</v>
      </c>
      <c r="AD47" s="19" t="s">
        <v>438</v>
      </c>
      <c r="AE47" s="1" t="str">
        <f t="shared" si="7"/>
        <v>大阪府大阪市西区新町2-16-17アーデンタワー新町1101号</v>
      </c>
      <c r="AF47" s="1" t="s">
        <v>440</v>
      </c>
      <c r="AG47" s="1" t="s">
        <v>439</v>
      </c>
      <c r="AH47" s="1" t="s">
        <v>113</v>
      </c>
      <c r="AI47" s="1" t="str">
        <f t="shared" si="8"/>
        <v> 東京都大田区上池台３－２４－１４スターハイツ洗足池２　２０２</v>
      </c>
      <c r="AJ47" s="1" t="s">
        <v>114</v>
      </c>
      <c r="AK47" s="26" t="s">
        <v>67</v>
      </c>
      <c r="AL47" s="26">
        <v>1</v>
      </c>
      <c r="AM47" s="19" t="str">
        <f ca="1" t="shared" si="10"/>
        <v>PJP001</v>
      </c>
      <c r="AN47" s="1" t="str">
        <f ca="1" t="shared" si="9"/>
        <v/>
      </c>
      <c r="AU47" s="1" t="s">
        <v>206</v>
      </c>
      <c r="AV47" s="1" t="s">
        <v>441</v>
      </c>
      <c r="AW47" s="1" t="s">
        <v>442</v>
      </c>
      <c r="AX47" s="1" t="s">
        <v>443</v>
      </c>
      <c r="AY47" s="1" t="s">
        <v>444</v>
      </c>
      <c r="AZ47" s="1">
        <v>14</v>
      </c>
      <c r="BA47" s="1" t="s">
        <v>120</v>
      </c>
      <c r="BB47" s="1"/>
      <c r="BC47" s="1"/>
      <c r="BD47" s="1"/>
    </row>
    <row r="48" ht="33" customHeight="1" spans="1:56">
      <c r="A48" s="13" t="s">
        <v>53</v>
      </c>
      <c r="B48" s="14"/>
      <c r="C48" s="15" t="s">
        <v>445</v>
      </c>
      <c r="D48" s="15" t="s">
        <v>445</v>
      </c>
      <c r="E48" s="1">
        <v>1</v>
      </c>
      <c r="F48" s="3">
        <v>0.31</v>
      </c>
      <c r="G48" s="1" t="s">
        <v>55</v>
      </c>
      <c r="H48" s="16" t="str">
        <f t="shared" si="0"/>
        <v>CLEANING SUPPLIES</v>
      </c>
      <c r="I48" s="16" t="str">
        <f t="shared" si="1"/>
        <v>PC</v>
      </c>
      <c r="J48" s="16" t="s">
        <v>446</v>
      </c>
      <c r="K48" s="17" t="str">
        <f t="shared" si="2"/>
        <v>高村 精一郎</v>
      </c>
      <c r="L48" s="17"/>
      <c r="M48" s="18" t="str">
        <f t="shared" si="3"/>
        <v>埼玉県所沢市下安松286-227</v>
      </c>
      <c r="N48" s="19" t="str">
        <f t="shared" si="4"/>
        <v>埼玉県所沢市下安松286-227</v>
      </c>
      <c r="O48" s="20" t="str">
        <f>MID(N48,MIN(IFERROR(FIND({0,1,2,3,4,5,6,7,8,9},N48),LEN(N48)+1)),LEN(N48))</f>
        <v>286-227</v>
      </c>
      <c r="P48" s="20" t="str">
        <f t="shared" si="5"/>
        <v> 286-227</v>
      </c>
      <c r="Q48" s="19" t="s">
        <v>447</v>
      </c>
      <c r="R48" s="21" t="s">
        <v>448</v>
      </c>
      <c r="S48" s="22" t="s">
        <v>59</v>
      </c>
      <c r="T48" s="22" t="s">
        <v>60</v>
      </c>
      <c r="U48" s="23" t="s">
        <v>61</v>
      </c>
      <c r="V48" s="23" t="s">
        <v>62</v>
      </c>
      <c r="W48" s="24"/>
      <c r="X48" s="25">
        <f t="shared" si="6"/>
        <v>14</v>
      </c>
      <c r="Y48" s="23" t="s">
        <v>63</v>
      </c>
      <c r="Z48" s="23" t="s">
        <v>62</v>
      </c>
      <c r="AA48" s="23"/>
      <c r="AB48" s="23" t="s">
        <v>64</v>
      </c>
      <c r="AD48" s="19" t="s">
        <v>446</v>
      </c>
      <c r="AE48" s="1" t="str">
        <f t="shared" si="7"/>
        <v>埼玉県所沢市下安松286-227</v>
      </c>
      <c r="AF48" s="1" t="s">
        <v>448</v>
      </c>
      <c r="AG48" s="1" t="s">
        <v>447</v>
      </c>
      <c r="AH48" s="1" t="s">
        <v>274</v>
      </c>
      <c r="AI48" s="1" t="str">
        <f t="shared" si="8"/>
        <v> 東京都西多摩郡奥多摩町留浦１０１８</v>
      </c>
      <c r="AJ48" s="1" t="s">
        <v>275</v>
      </c>
      <c r="AK48" s="26" t="s">
        <v>67</v>
      </c>
      <c r="AL48" s="26">
        <v>1</v>
      </c>
      <c r="AM48" s="19" t="str">
        <f ca="1" t="shared" si="10"/>
        <v>JCNZZZ</v>
      </c>
      <c r="AN48" s="1" t="str">
        <f ca="1" t="shared" si="9"/>
        <v>ALIBABA</v>
      </c>
      <c r="AU48" s="1" t="s">
        <v>265</v>
      </c>
      <c r="AV48" s="1" t="s">
        <v>449</v>
      </c>
      <c r="AW48" s="1" t="s">
        <v>450</v>
      </c>
      <c r="AX48" s="1" t="s">
        <v>234</v>
      </c>
      <c r="AY48" s="1" t="s">
        <v>235</v>
      </c>
      <c r="AZ48" s="1">
        <v>14</v>
      </c>
      <c r="BA48" s="1" t="s">
        <v>280</v>
      </c>
      <c r="BB48" s="1"/>
      <c r="BC48" s="1"/>
      <c r="BD48" s="1"/>
    </row>
    <row r="49" ht="33" customHeight="1" spans="1:56">
      <c r="A49" s="13" t="s">
        <v>53</v>
      </c>
      <c r="B49" s="14"/>
      <c r="C49" s="15" t="s">
        <v>451</v>
      </c>
      <c r="D49" s="15" t="s">
        <v>451</v>
      </c>
      <c r="E49" s="1">
        <v>1</v>
      </c>
      <c r="F49" s="3">
        <v>0.21</v>
      </c>
      <c r="G49" s="1" t="s">
        <v>55</v>
      </c>
      <c r="H49" s="16" t="str">
        <f t="shared" si="0"/>
        <v>EGG SLICER</v>
      </c>
      <c r="I49" s="16" t="str">
        <f t="shared" si="1"/>
        <v>STAINLESS STEEL</v>
      </c>
      <c r="J49" s="16" t="s">
        <v>452</v>
      </c>
      <c r="K49" s="17" t="str">
        <f t="shared" si="2"/>
        <v>長井 智美</v>
      </c>
      <c r="L49" s="17"/>
      <c r="M49" s="18" t="str">
        <f t="shared" si="3"/>
        <v>神奈川県茅ヶ崎市東海岸北5丁目1ー12ー2</v>
      </c>
      <c r="N49" s="19" t="str">
        <f t="shared" si="4"/>
        <v>神奈川県茅ヶ崎市東海岸北5丁目1ー12ー2</v>
      </c>
      <c r="O49" s="20" t="str">
        <f>MID(N49,MIN(IFERROR(FIND({0,1,2,3,4,5,6,7,8,9},N49),LEN(N49)+1)),LEN(N49))</f>
        <v>5丁目1ー12ー2</v>
      </c>
      <c r="P49" s="20" t="str">
        <f t="shared" si="5"/>
        <v> 5丁目1ー12ー2</v>
      </c>
      <c r="Q49" s="19" t="s">
        <v>453</v>
      </c>
      <c r="R49" s="21" t="s">
        <v>454</v>
      </c>
      <c r="S49" s="22" t="s">
        <v>59</v>
      </c>
      <c r="T49" s="22" t="s">
        <v>60</v>
      </c>
      <c r="U49" s="23" t="s">
        <v>61</v>
      </c>
      <c r="V49" s="23" t="s">
        <v>62</v>
      </c>
      <c r="W49" s="24"/>
      <c r="X49" s="25">
        <f t="shared" si="6"/>
        <v>15</v>
      </c>
      <c r="Y49" s="23" t="s">
        <v>63</v>
      </c>
      <c r="Z49" s="23" t="s">
        <v>62</v>
      </c>
      <c r="AA49" s="23"/>
      <c r="AB49" s="23" t="s">
        <v>64</v>
      </c>
      <c r="AD49" s="19" t="s">
        <v>452</v>
      </c>
      <c r="AE49" s="1" t="str">
        <f t="shared" si="7"/>
        <v>神奈川県茅ヶ崎市東海岸北5丁目1ー12ー2</v>
      </c>
      <c r="AF49" s="1" t="s">
        <v>454</v>
      </c>
      <c r="AG49" s="1" t="s">
        <v>453</v>
      </c>
      <c r="AH49" s="1" t="s">
        <v>241</v>
      </c>
      <c r="AI49" s="1" t="str">
        <f t="shared" si="8"/>
        <v> 山形県山形市上町２－９－５</v>
      </c>
      <c r="AJ49" s="1" t="s">
        <v>126</v>
      </c>
      <c r="AK49" s="26" t="s">
        <v>67</v>
      </c>
      <c r="AL49" s="26">
        <v>1</v>
      </c>
      <c r="AM49" s="19" t="str">
        <f ca="1" t="shared" si="10"/>
        <v>JCNZZZ</v>
      </c>
      <c r="AN49" s="1" t="str">
        <f ca="1" t="shared" si="9"/>
        <v>PingDduoDduo</v>
      </c>
      <c r="AU49" s="1" t="s">
        <v>101</v>
      </c>
      <c r="AV49" s="1" t="s">
        <v>455</v>
      </c>
      <c r="AW49" s="1" t="s">
        <v>456</v>
      </c>
      <c r="AX49" s="1" t="s">
        <v>457</v>
      </c>
      <c r="AY49" s="1" t="s">
        <v>225</v>
      </c>
      <c r="AZ49" s="1">
        <v>15</v>
      </c>
      <c r="BA49" s="1" t="s">
        <v>246</v>
      </c>
      <c r="BB49" s="1"/>
      <c r="BC49" s="1"/>
      <c r="BD49" s="1"/>
    </row>
    <row r="50" ht="33" customHeight="1" spans="1:56">
      <c r="A50" s="13" t="s">
        <v>53</v>
      </c>
      <c r="B50" s="14"/>
      <c r="C50" s="15" t="s">
        <v>458</v>
      </c>
      <c r="D50" s="15" t="s">
        <v>458</v>
      </c>
      <c r="E50" s="1">
        <v>1</v>
      </c>
      <c r="F50" s="3">
        <v>0.98</v>
      </c>
      <c r="G50" s="1" t="s">
        <v>55</v>
      </c>
      <c r="H50" s="16" t="str">
        <f t="shared" si="0"/>
        <v>SEAL</v>
      </c>
      <c r="I50" s="16" t="str">
        <f t="shared" si="1"/>
        <v>ABS</v>
      </c>
      <c r="J50" s="16" t="s">
        <v>459</v>
      </c>
      <c r="K50" s="17" t="str">
        <f t="shared" si="2"/>
        <v>菅原 まゆみ [スガワラ マユミ]</v>
      </c>
      <c r="L50" s="17"/>
      <c r="M50" s="18" t="str">
        <f t="shared" si="3"/>
        <v>北海道札幌市南区常盤二条1丁目12-6-1032025-12-14(日)16:00-18:00</v>
      </c>
      <c r="N50" s="19" t="str">
        <f t="shared" si="4"/>
        <v>北海道札幌市南区常盤二条1丁目12-6-1032025-12-14(日)16:00-18:00</v>
      </c>
      <c r="O50" s="20" t="str">
        <f>MID(N50,MIN(IFERROR(FIND({0,1,2,3,4,5,6,7,8,9},N50),LEN(N50)+1)),LEN(N50))</f>
        <v>1丁目12-6-1032025-12-14(日)16:00-18:00</v>
      </c>
      <c r="P50" s="20" t="str">
        <f t="shared" si="5"/>
        <v> 1丁目12-6-1032025-12-14(日)16:00-18:00</v>
      </c>
      <c r="Q50" s="19" t="s">
        <v>460</v>
      </c>
      <c r="R50" s="21" t="s">
        <v>461</v>
      </c>
      <c r="S50" s="22" t="s">
        <v>59</v>
      </c>
      <c r="T50" s="22" t="s">
        <v>60</v>
      </c>
      <c r="U50" s="23" t="s">
        <v>61</v>
      </c>
      <c r="V50" s="23" t="s">
        <v>62</v>
      </c>
      <c r="W50" s="24"/>
      <c r="X50" s="25">
        <f t="shared" si="6"/>
        <v>2</v>
      </c>
      <c r="Y50" s="23" t="s">
        <v>63</v>
      </c>
      <c r="Z50" s="23" t="s">
        <v>62</v>
      </c>
      <c r="AA50" s="23"/>
      <c r="AB50" s="23" t="s">
        <v>64</v>
      </c>
      <c r="AD50" s="19" t="s">
        <v>459</v>
      </c>
      <c r="AE50" s="1" t="str">
        <f t="shared" si="7"/>
        <v>北海道札幌市南区常盤二条1丁目12-6-1032025-12-14(日)16:00-18:00</v>
      </c>
      <c r="AF50" s="1" t="s">
        <v>461</v>
      </c>
      <c r="AG50" s="1" t="s">
        <v>460</v>
      </c>
      <c r="AH50" s="1" t="s">
        <v>462</v>
      </c>
      <c r="AI50" s="1" t="str">
        <f t="shared" si="8"/>
        <v> 内本町2‐3‐8</v>
      </c>
      <c r="AJ50" s="1" t="s">
        <v>385</v>
      </c>
      <c r="AK50" s="26" t="s">
        <v>67</v>
      </c>
      <c r="AL50" s="26">
        <v>1</v>
      </c>
      <c r="AM50" s="19" t="str">
        <f ca="1" t="shared" si="10"/>
        <v>PJP001</v>
      </c>
      <c r="AN50" s="1" t="str">
        <f ca="1" t="shared" si="9"/>
        <v/>
      </c>
      <c r="AU50" s="1" t="s">
        <v>115</v>
      </c>
      <c r="AV50" s="1" t="s">
        <v>463</v>
      </c>
      <c r="AW50" s="1" t="s">
        <v>464</v>
      </c>
      <c r="AX50" s="1" t="s">
        <v>465</v>
      </c>
      <c r="AY50" s="1" t="s">
        <v>72</v>
      </c>
      <c r="AZ50" s="1">
        <v>2</v>
      </c>
      <c r="BA50" s="1" t="s">
        <v>389</v>
      </c>
      <c r="BB50" s="1"/>
      <c r="BC50" s="1"/>
      <c r="BD50" s="1"/>
    </row>
    <row r="51" ht="33" customHeight="1" spans="1:56">
      <c r="A51" s="13" t="s">
        <v>53</v>
      </c>
      <c r="B51" s="14"/>
      <c r="C51" s="15" t="s">
        <v>466</v>
      </c>
      <c r="D51" s="15" t="s">
        <v>466</v>
      </c>
      <c r="E51" s="1">
        <v>1</v>
      </c>
      <c r="F51" s="3">
        <v>1.14</v>
      </c>
      <c r="G51" s="1" t="s">
        <v>55</v>
      </c>
      <c r="H51" s="16" t="str">
        <f t="shared" si="0"/>
        <v>TOY</v>
      </c>
      <c r="I51" s="16" t="str">
        <f t="shared" si="1"/>
        <v>PLASTIC</v>
      </c>
      <c r="J51" s="16" t="s">
        <v>467</v>
      </c>
      <c r="K51" s="17" t="str">
        <f t="shared" si="2"/>
        <v>天草 慈恵病院</v>
      </c>
      <c r="L51" s="17"/>
      <c r="M51" s="18" t="str">
        <f t="shared" si="3"/>
        <v>熊本県天草郡苓北町上津深江278-10</v>
      </c>
      <c r="N51" s="19" t="str">
        <f t="shared" si="4"/>
        <v>熊本県天草郡苓北町上津深江278-10</v>
      </c>
      <c r="O51" s="20" t="str">
        <f>MID(N51,MIN(IFERROR(FIND({0,1,2,3,4,5,6,7,8,9},N51),LEN(N51)+1)),LEN(N51))</f>
        <v>278-10</v>
      </c>
      <c r="P51" s="20" t="str">
        <f t="shared" si="5"/>
        <v> 278-10</v>
      </c>
      <c r="Q51" s="19" t="s">
        <v>468</v>
      </c>
      <c r="R51" s="21" t="s">
        <v>469</v>
      </c>
      <c r="S51" s="22" t="s">
        <v>59</v>
      </c>
      <c r="T51" s="22" t="s">
        <v>60</v>
      </c>
      <c r="U51" s="23" t="s">
        <v>61</v>
      </c>
      <c r="V51" s="23" t="s">
        <v>62</v>
      </c>
      <c r="W51" s="24"/>
      <c r="X51" s="25">
        <f t="shared" si="6"/>
        <v>15</v>
      </c>
      <c r="Y51" s="23" t="s">
        <v>63</v>
      </c>
      <c r="Z51" s="23" t="s">
        <v>62</v>
      </c>
      <c r="AA51" s="23"/>
      <c r="AB51" s="23" t="s">
        <v>64</v>
      </c>
      <c r="AD51" s="19" t="s">
        <v>467</v>
      </c>
      <c r="AE51" s="1" t="str">
        <f t="shared" si="7"/>
        <v>熊本県天草郡苓北町上津深江278-10</v>
      </c>
      <c r="AF51" s="1" t="s">
        <v>469</v>
      </c>
      <c r="AG51" s="1" t="s">
        <v>468</v>
      </c>
      <c r="AH51" s="1" t="s">
        <v>113</v>
      </c>
      <c r="AI51" s="1" t="str">
        <f t="shared" si="8"/>
        <v> 東京都大田区上池台３－２４－１４スターハイツ洗足池２　２０２</v>
      </c>
      <c r="AJ51" s="1" t="s">
        <v>114</v>
      </c>
      <c r="AK51" s="26" t="s">
        <v>67</v>
      </c>
      <c r="AL51" s="26">
        <v>1</v>
      </c>
      <c r="AM51" s="19" t="str">
        <f ca="1" t="shared" si="10"/>
        <v>PJP001</v>
      </c>
      <c r="AN51" s="1" t="str">
        <f ca="1" t="shared" si="9"/>
        <v/>
      </c>
      <c r="AU51" s="1" t="s">
        <v>470</v>
      </c>
      <c r="AV51" s="1" t="s">
        <v>471</v>
      </c>
      <c r="AW51" s="1" t="s">
        <v>472</v>
      </c>
      <c r="AX51" s="1" t="s">
        <v>473</v>
      </c>
      <c r="AY51" s="1" t="s">
        <v>105</v>
      </c>
      <c r="AZ51" s="1">
        <v>15</v>
      </c>
      <c r="BA51" s="1" t="s">
        <v>120</v>
      </c>
      <c r="BB51" s="1"/>
      <c r="BC51" s="1"/>
      <c r="BD51" s="1"/>
    </row>
    <row r="52" ht="33" customHeight="1" spans="1:56">
      <c r="A52" s="13" t="s">
        <v>53</v>
      </c>
      <c r="B52" s="14"/>
      <c r="C52" s="15" t="s">
        <v>474</v>
      </c>
      <c r="D52" s="15" t="s">
        <v>474</v>
      </c>
      <c r="E52" s="1">
        <v>1</v>
      </c>
      <c r="F52" s="3">
        <v>2.21</v>
      </c>
      <c r="G52" s="1" t="s">
        <v>55</v>
      </c>
      <c r="H52" s="16" t="str">
        <f t="shared" si="0"/>
        <v>WARM FAN</v>
      </c>
      <c r="I52" s="16" t="str">
        <f t="shared" si="1"/>
        <v>ABS</v>
      </c>
      <c r="J52" s="16" t="s">
        <v>475</v>
      </c>
      <c r="K52" s="17" t="str">
        <f t="shared" si="2"/>
        <v>本橋 伸子 [モトハシ ノブコ]</v>
      </c>
      <c r="L52" s="17"/>
      <c r="M52" s="18" t="str">
        <f t="shared" si="3"/>
        <v>東京都目黒区大橋2-2-3-504（午前中配達希望）</v>
      </c>
      <c r="N52" s="19" t="str">
        <f t="shared" si="4"/>
        <v>東京都目黒区大橋2-2-3-504（午前中配達希望）</v>
      </c>
      <c r="O52" s="20" t="str">
        <f>MID(N52,MIN(IFERROR(FIND({0,1,2,3,4,5,6,7,8,9},N52),LEN(N52)+1)),LEN(N52))</f>
        <v>2-2-3-504（午前中配達希望）</v>
      </c>
      <c r="P52" s="20" t="str">
        <f t="shared" si="5"/>
        <v> 2-2-3-504（午前中配達希望）</v>
      </c>
      <c r="Q52" s="19" t="s">
        <v>476</v>
      </c>
      <c r="R52" s="21" t="s">
        <v>477</v>
      </c>
      <c r="S52" s="22" t="s">
        <v>59</v>
      </c>
      <c r="T52" s="22" t="s">
        <v>60</v>
      </c>
      <c r="U52" s="23" t="s">
        <v>61</v>
      </c>
      <c r="V52" s="23" t="s">
        <v>62</v>
      </c>
      <c r="W52" s="24"/>
      <c r="X52" s="25">
        <f t="shared" si="6"/>
        <v>15</v>
      </c>
      <c r="Y52" s="23" t="s">
        <v>63</v>
      </c>
      <c r="Z52" s="23" t="s">
        <v>62</v>
      </c>
      <c r="AA52" s="23"/>
      <c r="AB52" s="23" t="s">
        <v>64</v>
      </c>
      <c r="AD52" s="19" t="s">
        <v>475</v>
      </c>
      <c r="AE52" s="1" t="str">
        <f t="shared" si="7"/>
        <v>東京都目黒区大橋2-2-3-504（午前中配達希望）</v>
      </c>
      <c r="AF52" s="1" t="s">
        <v>477</v>
      </c>
      <c r="AG52" s="1" t="s">
        <v>476</v>
      </c>
      <c r="AH52" s="1" t="s">
        <v>65</v>
      </c>
      <c r="AI52" s="1" t="str">
        <f t="shared" si="8"/>
        <v> 東京都稲城市平尾１－１４－１７</v>
      </c>
      <c r="AJ52" s="1" t="s">
        <v>66</v>
      </c>
      <c r="AK52" s="26" t="s">
        <v>67</v>
      </c>
      <c r="AL52" s="26">
        <v>1</v>
      </c>
      <c r="AM52" s="19" t="str">
        <f ca="1" t="shared" si="10"/>
        <v>PJP001</v>
      </c>
      <c r="AN52" s="1" t="str">
        <f ca="1" t="shared" si="9"/>
        <v/>
      </c>
      <c r="AU52" s="1" t="s">
        <v>68</v>
      </c>
      <c r="AV52" s="1" t="s">
        <v>478</v>
      </c>
      <c r="AW52" s="1" t="s">
        <v>479</v>
      </c>
      <c r="AX52" s="1" t="s">
        <v>480</v>
      </c>
      <c r="AY52" s="1" t="s">
        <v>72</v>
      </c>
      <c r="AZ52" s="1">
        <v>15</v>
      </c>
      <c r="BA52" s="1" t="s">
        <v>73</v>
      </c>
      <c r="BB52" s="1"/>
      <c r="BC52" s="1"/>
      <c r="BD52" s="1"/>
    </row>
    <row r="53" ht="33" customHeight="1" spans="1:56">
      <c r="A53" s="13" t="s">
        <v>53</v>
      </c>
      <c r="B53" s="14"/>
      <c r="C53" s="15" t="s">
        <v>481</v>
      </c>
      <c r="D53" s="15" t="s">
        <v>481</v>
      </c>
      <c r="E53" s="1">
        <v>1</v>
      </c>
      <c r="F53" s="3">
        <v>2.34</v>
      </c>
      <c r="G53" s="1" t="s">
        <v>55</v>
      </c>
      <c r="H53" s="16" t="str">
        <f t="shared" si="0"/>
        <v>ORNAMENTS</v>
      </c>
      <c r="I53" s="16" t="str">
        <f t="shared" si="1"/>
        <v>CERAMICS</v>
      </c>
      <c r="J53" s="16" t="s">
        <v>482</v>
      </c>
      <c r="K53" s="17" t="str">
        <f t="shared" si="2"/>
        <v>高根沢 一也</v>
      </c>
      <c r="L53" s="17"/>
      <c r="M53" s="18" t="str">
        <f t="shared" si="3"/>
        <v>東京都新宿区歌舞伎町1-28-3 TOMOビル3F</v>
      </c>
      <c r="N53" s="19" t="str">
        <f t="shared" si="4"/>
        <v>東京都新宿区歌舞伎町1-28-3 TOMOビル3F</v>
      </c>
      <c r="O53" s="20" t="str">
        <f>MID(N53,MIN(IFERROR(FIND({0,1,2,3,4,5,6,7,8,9},N53),LEN(N53)+1)),LEN(N53))</f>
        <v>1-28-3 TOMOビル3F</v>
      </c>
      <c r="P53" s="20" t="str">
        <f t="shared" si="5"/>
        <v> 1-28-3 TOMOビル3F</v>
      </c>
      <c r="Q53" s="19" t="s">
        <v>483</v>
      </c>
      <c r="R53" s="21" t="s">
        <v>484</v>
      </c>
      <c r="S53" s="22" t="s">
        <v>59</v>
      </c>
      <c r="T53" s="22" t="s">
        <v>60</v>
      </c>
      <c r="U53" s="23" t="s">
        <v>61</v>
      </c>
      <c r="V53" s="23" t="s">
        <v>62</v>
      </c>
      <c r="W53" s="24"/>
      <c r="X53" s="25">
        <f t="shared" si="6"/>
        <v>12</v>
      </c>
      <c r="Y53" s="23" t="s">
        <v>63</v>
      </c>
      <c r="Z53" s="23" t="s">
        <v>62</v>
      </c>
      <c r="AA53" s="23"/>
      <c r="AB53" s="23" t="s">
        <v>64</v>
      </c>
      <c r="AD53" s="19" t="s">
        <v>482</v>
      </c>
      <c r="AE53" s="1" t="str">
        <f t="shared" si="7"/>
        <v>東京都新宿区歌舞伎町1-28-3 TOMOビル3F</v>
      </c>
      <c r="AF53" s="1" t="s">
        <v>484</v>
      </c>
      <c r="AG53" s="1" t="s">
        <v>483</v>
      </c>
      <c r="AH53" s="1" t="s">
        <v>274</v>
      </c>
      <c r="AI53" s="1" t="str">
        <f t="shared" si="8"/>
        <v> 東京都西多摩郡奥多摩町留浦１０１８</v>
      </c>
      <c r="AJ53" s="1" t="s">
        <v>275</v>
      </c>
      <c r="AK53" s="26" t="s">
        <v>67</v>
      </c>
      <c r="AL53" s="26">
        <v>1</v>
      </c>
      <c r="AM53" s="19" t="str">
        <f ca="1" t="shared" si="10"/>
        <v>JCNZZZ</v>
      </c>
      <c r="AN53" s="1" t="str">
        <f ca="1" t="shared" si="9"/>
        <v>JinDdong</v>
      </c>
      <c r="AU53" s="1" t="s">
        <v>68</v>
      </c>
      <c r="AV53" s="1" t="s">
        <v>85</v>
      </c>
      <c r="AW53" s="1" t="s">
        <v>485</v>
      </c>
      <c r="AX53" s="1" t="s">
        <v>443</v>
      </c>
      <c r="AY53" s="1" t="s">
        <v>486</v>
      </c>
      <c r="AZ53" s="1">
        <v>12</v>
      </c>
      <c r="BA53" s="1" t="s">
        <v>280</v>
      </c>
      <c r="BB53" s="1"/>
      <c r="BC53" s="1"/>
      <c r="BD53" s="1"/>
    </row>
    <row r="54" ht="33" customHeight="1" spans="1:56">
      <c r="A54" s="13" t="s">
        <v>53</v>
      </c>
      <c r="B54" s="14"/>
      <c r="C54" s="15" t="s">
        <v>487</v>
      </c>
      <c r="D54" s="15" t="s">
        <v>487</v>
      </c>
      <c r="E54" s="1">
        <v>1</v>
      </c>
      <c r="F54" s="3">
        <v>2.22</v>
      </c>
      <c r="G54" s="1" t="s">
        <v>55</v>
      </c>
      <c r="H54" s="16" t="str">
        <f t="shared" si="0"/>
        <v>MAKEUP MIRROR</v>
      </c>
      <c r="I54" s="16" t="str">
        <f t="shared" si="1"/>
        <v>GLASS</v>
      </c>
      <c r="J54" s="16" t="s">
        <v>488</v>
      </c>
      <c r="K54" s="17" t="str">
        <f t="shared" si="2"/>
        <v>吉川 富子 [ヨシカワ ヒサコ]</v>
      </c>
      <c r="L54" s="17"/>
      <c r="M54" s="18" t="str">
        <f t="shared" si="3"/>
        <v>北海道札幌市中央区北三条東11丁目338 プレミストタワーズ札幌苗穂AQUAGATE 2403（12:00-14:00配達希望）</v>
      </c>
      <c r="N54" s="19" t="str">
        <f t="shared" si="4"/>
        <v>北海道札幌市中央区北三条東11丁目338 プレミストタワーズ札幌苗穂AQUAGATE 2403（12:00-14:00配達希望）</v>
      </c>
      <c r="O54" s="20" t="str">
        <f>MID(N54,MIN(IFERROR(FIND({0,1,2,3,4,5,6,7,8,9},N54),LEN(N54)+1)),LEN(N54))</f>
        <v>11丁目338 プレミストタワーズ札幌苗穂AQUAGATE 2403（12:00-14:00配達希望）</v>
      </c>
      <c r="P54" s="20" t="str">
        <f t="shared" si="5"/>
        <v> 11丁目338 プレミストタワーズ札幌苗穂AQUAGATE 2403（12:00-14:00配達希望）</v>
      </c>
      <c r="Q54" s="19" t="s">
        <v>489</v>
      </c>
      <c r="R54" s="21" t="s">
        <v>490</v>
      </c>
      <c r="S54" s="22" t="s">
        <v>59</v>
      </c>
      <c r="T54" s="22" t="s">
        <v>60</v>
      </c>
      <c r="U54" s="23" t="s">
        <v>61</v>
      </c>
      <c r="V54" s="23" t="s">
        <v>62</v>
      </c>
      <c r="W54" s="24"/>
      <c r="X54" s="25">
        <f t="shared" si="6"/>
        <v>16</v>
      </c>
      <c r="Y54" s="23" t="s">
        <v>63</v>
      </c>
      <c r="Z54" s="23" t="s">
        <v>62</v>
      </c>
      <c r="AA54" s="23"/>
      <c r="AB54" s="23" t="s">
        <v>64</v>
      </c>
      <c r="AD54" s="19" t="s">
        <v>488</v>
      </c>
      <c r="AE54" s="1" t="str">
        <f t="shared" si="7"/>
        <v>北海道札幌市中央区北三条東11丁目338 プレミストタワーズ札幌苗穂AQUAGATE 2403（12:00-14:00配達希望）</v>
      </c>
      <c r="AF54" s="1" t="s">
        <v>490</v>
      </c>
      <c r="AG54" s="1" t="s">
        <v>489</v>
      </c>
      <c r="AH54" s="1" t="s">
        <v>176</v>
      </c>
      <c r="AI54" s="1" t="str">
        <f t="shared" si="8"/>
        <v> 東京都品川区平塚1-13-1</v>
      </c>
      <c r="AJ54" s="1" t="s">
        <v>177</v>
      </c>
      <c r="AK54" s="26" t="s">
        <v>67</v>
      </c>
      <c r="AL54" s="26">
        <v>1</v>
      </c>
      <c r="AM54" s="19" t="str">
        <f ca="1" t="shared" si="10"/>
        <v>PJP001</v>
      </c>
      <c r="AN54" s="1" t="str">
        <f ca="1" t="shared" si="9"/>
        <v/>
      </c>
      <c r="AU54" s="1" t="s">
        <v>115</v>
      </c>
      <c r="AV54" s="1" t="s">
        <v>232</v>
      </c>
      <c r="AW54" s="1" t="s">
        <v>491</v>
      </c>
      <c r="AX54" s="1" t="s">
        <v>492</v>
      </c>
      <c r="AY54" s="1" t="s">
        <v>493</v>
      </c>
      <c r="AZ54" s="1">
        <v>16.4</v>
      </c>
      <c r="BA54" s="1" t="s">
        <v>180</v>
      </c>
      <c r="BB54" s="1"/>
      <c r="BC54" s="1"/>
      <c r="BD54" s="1"/>
    </row>
    <row r="55" ht="33" customHeight="1" spans="1:56">
      <c r="A55" s="13" t="s">
        <v>53</v>
      </c>
      <c r="B55" s="14"/>
      <c r="C55" s="15" t="s">
        <v>494</v>
      </c>
      <c r="D55" s="15" t="s">
        <v>494</v>
      </c>
      <c r="E55" s="1">
        <v>1</v>
      </c>
      <c r="F55" s="3">
        <v>0.73</v>
      </c>
      <c r="G55" s="1" t="s">
        <v>55</v>
      </c>
      <c r="H55" s="16" t="str">
        <f t="shared" si="0"/>
        <v>TRACK TOYS</v>
      </c>
      <c r="I55" s="16" t="str">
        <f t="shared" si="1"/>
        <v>ABS</v>
      </c>
      <c r="J55" s="16" t="s">
        <v>495</v>
      </c>
      <c r="K55" s="17" t="str">
        <f t="shared" si="2"/>
        <v>林 恵利</v>
      </c>
      <c r="L55" s="17"/>
      <c r="M55" s="18" t="str">
        <f t="shared" si="3"/>
        <v>東京都目黒区南2-8-17-156</v>
      </c>
      <c r="N55" s="19" t="str">
        <f t="shared" si="4"/>
        <v>東京都目黒区南2-8-17-156</v>
      </c>
      <c r="O55" s="20" t="str">
        <f>MID(N55,MIN(IFERROR(FIND({0,1,2,3,4,5,6,7,8,9},N55),LEN(N55)+1)),LEN(N55))</f>
        <v>2-8-17-156</v>
      </c>
      <c r="P55" s="20" t="str">
        <f t="shared" si="5"/>
        <v> 2-8-17-156</v>
      </c>
      <c r="Q55" s="19" t="s">
        <v>496</v>
      </c>
      <c r="R55" s="21" t="s">
        <v>497</v>
      </c>
      <c r="S55" s="22" t="s">
        <v>59</v>
      </c>
      <c r="T55" s="22" t="s">
        <v>60</v>
      </c>
      <c r="U55" s="23" t="s">
        <v>61</v>
      </c>
      <c r="V55" s="23" t="s">
        <v>62</v>
      </c>
      <c r="W55" s="24"/>
      <c r="X55" s="25">
        <f t="shared" si="6"/>
        <v>12</v>
      </c>
      <c r="Y55" s="23" t="s">
        <v>63</v>
      </c>
      <c r="Z55" s="23" t="s">
        <v>62</v>
      </c>
      <c r="AA55" s="23"/>
      <c r="AB55" s="23" t="s">
        <v>64</v>
      </c>
      <c r="AD55" s="19" t="s">
        <v>495</v>
      </c>
      <c r="AE55" s="1" t="str">
        <f t="shared" si="7"/>
        <v>東京都目黒区南2-8-17-156</v>
      </c>
      <c r="AF55" s="1" t="s">
        <v>497</v>
      </c>
      <c r="AG55" s="1" t="s">
        <v>496</v>
      </c>
      <c r="AH55" s="1" t="s">
        <v>274</v>
      </c>
      <c r="AI55" s="1" t="str">
        <f t="shared" si="8"/>
        <v> 東京都西多摩郡奥多摩町留浦１０１８</v>
      </c>
      <c r="AJ55" s="1" t="s">
        <v>275</v>
      </c>
      <c r="AK55" s="26" t="s">
        <v>67</v>
      </c>
      <c r="AL55" s="26">
        <v>1</v>
      </c>
      <c r="AM55" s="19" t="str">
        <f ca="1" t="shared" si="10"/>
        <v>JCNZZZ</v>
      </c>
      <c r="AN55" s="1" t="str">
        <f ca="1" t="shared" si="9"/>
        <v>PingDduoDduo</v>
      </c>
      <c r="AU55" s="1" t="s">
        <v>68</v>
      </c>
      <c r="AV55" s="1" t="s">
        <v>478</v>
      </c>
      <c r="AW55" s="1" t="s">
        <v>498</v>
      </c>
      <c r="AX55" s="1" t="s">
        <v>499</v>
      </c>
      <c r="AY55" s="1" t="s">
        <v>72</v>
      </c>
      <c r="AZ55" s="1">
        <v>12</v>
      </c>
      <c r="BA55" s="1" t="s">
        <v>280</v>
      </c>
      <c r="BB55" s="1"/>
      <c r="BC55" s="1"/>
      <c r="BD55" s="1"/>
    </row>
    <row r="56" ht="33" customHeight="1" spans="1:56">
      <c r="A56" s="13" t="s">
        <v>53</v>
      </c>
      <c r="B56" s="14"/>
      <c r="C56" s="15" t="s">
        <v>500</v>
      </c>
      <c r="D56" s="15" t="s">
        <v>500</v>
      </c>
      <c r="E56" s="1">
        <v>1</v>
      </c>
      <c r="F56" s="3">
        <v>2.18</v>
      </c>
      <c r="G56" s="1" t="s">
        <v>55</v>
      </c>
      <c r="H56" s="16" t="str">
        <f t="shared" si="0"/>
        <v>PLASTIC TOYS</v>
      </c>
      <c r="I56" s="16" t="str">
        <f t="shared" si="1"/>
        <v>ABS</v>
      </c>
      <c r="J56" s="16" t="s">
        <v>501</v>
      </c>
      <c r="K56" s="17" t="str">
        <f t="shared" si="2"/>
        <v>翔 浜田</v>
      </c>
      <c r="L56" s="17"/>
      <c r="M56" s="18" t="str">
        <f t="shared" si="3"/>
        <v>埼玉県所沢市若狭4-867-6</v>
      </c>
      <c r="N56" s="19" t="str">
        <f t="shared" si="4"/>
        <v>埼玉県所沢市若狭4-867-6</v>
      </c>
      <c r="O56" s="20" t="str">
        <f>MID(N56,MIN(IFERROR(FIND({0,1,2,3,4,5,6,7,8,9},N56),LEN(N56)+1)),LEN(N56))</f>
        <v>4-867-6</v>
      </c>
      <c r="P56" s="20" t="str">
        <f t="shared" si="5"/>
        <v> 4-867-6</v>
      </c>
      <c r="Q56" s="19" t="s">
        <v>502</v>
      </c>
      <c r="R56" s="21" t="s">
        <v>503</v>
      </c>
      <c r="S56" s="22" t="s">
        <v>59</v>
      </c>
      <c r="T56" s="22" t="s">
        <v>60</v>
      </c>
      <c r="U56" s="23" t="s">
        <v>61</v>
      </c>
      <c r="V56" s="23" t="s">
        <v>62</v>
      </c>
      <c r="W56" s="24"/>
      <c r="X56" s="25">
        <f t="shared" si="6"/>
        <v>12</v>
      </c>
      <c r="Y56" s="23" t="s">
        <v>63</v>
      </c>
      <c r="Z56" s="23" t="s">
        <v>62</v>
      </c>
      <c r="AA56" s="23"/>
      <c r="AB56" s="23" t="s">
        <v>64</v>
      </c>
      <c r="AD56" s="19" t="s">
        <v>501</v>
      </c>
      <c r="AE56" s="1" t="str">
        <f t="shared" si="7"/>
        <v>埼玉県所沢市若狭4-867-6</v>
      </c>
      <c r="AF56" s="1" t="s">
        <v>503</v>
      </c>
      <c r="AG56" s="1" t="s">
        <v>502</v>
      </c>
      <c r="AH56" s="1"/>
      <c r="AI56" s="1" t="str">
        <f t="shared" si="8"/>
        <v> </v>
      </c>
      <c r="AJ56" s="1" t="s">
        <v>91</v>
      </c>
      <c r="AK56" s="26" t="s">
        <v>67</v>
      </c>
      <c r="AL56" s="26">
        <v>1</v>
      </c>
      <c r="AM56" s="19" t="str">
        <f ca="1" t="shared" si="10"/>
        <v>JCNZZZ</v>
      </c>
      <c r="AN56" s="1" t="str">
        <f ca="1" t="shared" si="9"/>
        <v>TAOBAO0</v>
      </c>
      <c r="AU56" s="1"/>
      <c r="AV56" s="1"/>
      <c r="AW56" s="1" t="s">
        <v>504</v>
      </c>
      <c r="AX56" s="1" t="s">
        <v>310</v>
      </c>
      <c r="AY56" s="1" t="s">
        <v>72</v>
      </c>
      <c r="AZ56" s="1">
        <v>12.8</v>
      </c>
      <c r="BA56" s="1" t="s">
        <v>91</v>
      </c>
      <c r="BB56" s="1"/>
      <c r="BC56" s="1"/>
      <c r="BD56" s="1"/>
    </row>
    <row r="57" ht="33" customHeight="1" spans="1:56">
      <c r="A57" s="13" t="s">
        <v>53</v>
      </c>
      <c r="B57" s="14"/>
      <c r="C57" s="15" t="s">
        <v>505</v>
      </c>
      <c r="D57" s="15" t="s">
        <v>505</v>
      </c>
      <c r="E57" s="1">
        <v>1</v>
      </c>
      <c r="F57" s="3">
        <v>2.78</v>
      </c>
      <c r="G57" s="1" t="s">
        <v>55</v>
      </c>
      <c r="H57" s="16" t="str">
        <f t="shared" si="0"/>
        <v>PLASTIC TOYS</v>
      </c>
      <c r="I57" s="16" t="str">
        <f t="shared" si="1"/>
        <v>ABS</v>
      </c>
      <c r="J57" s="16" t="s">
        <v>506</v>
      </c>
      <c r="K57" s="17" t="str">
        <f t="shared" si="2"/>
        <v>ZHANG LI KUN</v>
      </c>
      <c r="L57" s="17"/>
      <c r="M57" s="18" t="str">
        <f t="shared" si="3"/>
        <v>東京都千代田区神田佐久間町1-17 4F</v>
      </c>
      <c r="N57" s="19" t="str">
        <f t="shared" si="4"/>
        <v>東京都千代田区神田佐久間町1-17 4F</v>
      </c>
      <c r="O57" s="20" t="str">
        <f>MID(N57,MIN(IFERROR(FIND({0,1,2,3,4,5,6,7,8,9},N57),LEN(N57)+1)),LEN(N57))</f>
        <v>1-17 4F</v>
      </c>
      <c r="P57" s="20" t="str">
        <f t="shared" si="5"/>
        <v> 1-17 4F</v>
      </c>
      <c r="Q57" s="19" t="s">
        <v>507</v>
      </c>
      <c r="R57" s="21" t="s">
        <v>508</v>
      </c>
      <c r="S57" s="22" t="s">
        <v>59</v>
      </c>
      <c r="T57" s="22" t="s">
        <v>60</v>
      </c>
      <c r="U57" s="23" t="s">
        <v>61</v>
      </c>
      <c r="V57" s="23" t="s">
        <v>62</v>
      </c>
      <c r="W57" s="24"/>
      <c r="X57" s="25">
        <f t="shared" si="6"/>
        <v>12</v>
      </c>
      <c r="Y57" s="23" t="s">
        <v>63</v>
      </c>
      <c r="Z57" s="23" t="s">
        <v>62</v>
      </c>
      <c r="AA57" s="23"/>
      <c r="AB57" s="23" t="s">
        <v>64</v>
      </c>
      <c r="AD57" s="19" t="s">
        <v>506</v>
      </c>
      <c r="AE57" s="1" t="str">
        <f t="shared" si="7"/>
        <v>東京都千代田区神田佐久間町1-17 4F</v>
      </c>
      <c r="AF57" s="1" t="s">
        <v>508</v>
      </c>
      <c r="AG57" s="1" t="s">
        <v>507</v>
      </c>
      <c r="AH57" s="1"/>
      <c r="AI57" s="1" t="str">
        <f t="shared" si="8"/>
        <v> </v>
      </c>
      <c r="AJ57" s="1" t="s">
        <v>91</v>
      </c>
      <c r="AK57" s="26" t="s">
        <v>67</v>
      </c>
      <c r="AL57" s="26">
        <v>1</v>
      </c>
      <c r="AM57" s="19" t="str">
        <f ca="1" t="shared" si="10"/>
        <v>JCNZZZ</v>
      </c>
      <c r="AN57" s="1" t="str">
        <f ca="1" t="shared" si="9"/>
        <v>ALIBABA</v>
      </c>
      <c r="AU57" s="1"/>
      <c r="AV57" s="1"/>
      <c r="AW57" s="1" t="s">
        <v>509</v>
      </c>
      <c r="AX57" s="1" t="s">
        <v>310</v>
      </c>
      <c r="AY57" s="1" t="s">
        <v>72</v>
      </c>
      <c r="AZ57" s="1">
        <v>12.8</v>
      </c>
      <c r="BA57" s="1" t="s">
        <v>91</v>
      </c>
      <c r="BB57" s="1"/>
      <c r="BC57" s="1"/>
      <c r="BD57" s="1"/>
    </row>
    <row r="58" ht="33" customHeight="1" spans="1:56">
      <c r="A58" s="13" t="s">
        <v>53</v>
      </c>
      <c r="B58" s="14"/>
      <c r="C58" s="15" t="s">
        <v>510</v>
      </c>
      <c r="D58" s="15" t="s">
        <v>510</v>
      </c>
      <c r="E58" s="1">
        <v>1</v>
      </c>
      <c r="F58" s="3">
        <v>0.55</v>
      </c>
      <c r="G58" s="1" t="s">
        <v>55</v>
      </c>
      <c r="H58" s="16" t="str">
        <f t="shared" si="0"/>
        <v>BELT</v>
      </c>
      <c r="I58" s="16" t="str">
        <f t="shared" si="1"/>
        <v>ABS</v>
      </c>
      <c r="J58" s="16" t="s">
        <v>511</v>
      </c>
      <c r="K58" s="17" t="str">
        <f t="shared" si="2"/>
        <v>パスタ屋 とらうさぎ3番店</v>
      </c>
      <c r="L58" s="17"/>
      <c r="M58" s="18" t="str">
        <f t="shared" si="3"/>
        <v>神奈川県川崎市中原区下小田中1-8-2 KFAビル1階（パスタ屋 とらうさぎ3番店）</v>
      </c>
      <c r="N58" s="19" t="str">
        <f t="shared" si="4"/>
        <v>神奈川県川崎市中原区下小田中1-8-2 KFAビル1階（パスタ屋 とらうさぎ3番店）</v>
      </c>
      <c r="O58" s="20" t="str">
        <f>MID(N58,MIN(IFERROR(FIND({0,1,2,3,4,5,6,7,8,9},N58),LEN(N58)+1)),LEN(N58))</f>
        <v>1-8-2 KFAビル1階（パスタ屋 とらうさぎ3番店）</v>
      </c>
      <c r="P58" s="20" t="str">
        <f t="shared" si="5"/>
        <v> 1-8-2 KFAビル1階（パスタ屋 とらうさぎ3番店）</v>
      </c>
      <c r="Q58" s="19" t="s">
        <v>512</v>
      </c>
      <c r="R58" s="21" t="s">
        <v>513</v>
      </c>
      <c r="S58" s="22" t="s">
        <v>59</v>
      </c>
      <c r="T58" s="22" t="s">
        <v>60</v>
      </c>
      <c r="U58" s="23" t="s">
        <v>61</v>
      </c>
      <c r="V58" s="23" t="s">
        <v>62</v>
      </c>
      <c r="W58" s="24"/>
      <c r="X58" s="25">
        <f t="shared" si="6"/>
        <v>15</v>
      </c>
      <c r="Y58" s="23" t="s">
        <v>63</v>
      </c>
      <c r="Z58" s="23" t="s">
        <v>62</v>
      </c>
      <c r="AA58" s="23"/>
      <c r="AB58" s="23" t="s">
        <v>64</v>
      </c>
      <c r="AD58" s="19" t="s">
        <v>511</v>
      </c>
      <c r="AE58" s="1" t="str">
        <f t="shared" si="7"/>
        <v>神奈川県川崎市中原区下小田中1-8-2 KFAビル1階（パスタ屋 とらうさぎ3番店）</v>
      </c>
      <c r="AF58" s="1" t="s">
        <v>513</v>
      </c>
      <c r="AG58" s="1" t="s">
        <v>512</v>
      </c>
      <c r="AH58" s="1" t="s">
        <v>342</v>
      </c>
      <c r="AI58" s="1" t="str">
        <f t="shared" si="8"/>
        <v> 中央区内本町2‐3‐8　ダイアパレスビル本町 1006ミズイシテクノロジー</v>
      </c>
      <c r="AJ58" s="1" t="s">
        <v>343</v>
      </c>
      <c r="AK58" s="26" t="s">
        <v>67</v>
      </c>
      <c r="AL58" s="26">
        <v>1</v>
      </c>
      <c r="AM58" s="19" t="str">
        <f ca="1" t="shared" si="10"/>
        <v>PJP001</v>
      </c>
      <c r="AN58" s="1" t="str">
        <f ca="1" t="shared" si="9"/>
        <v/>
      </c>
      <c r="AU58" s="1" t="s">
        <v>101</v>
      </c>
      <c r="AV58" s="1" t="s">
        <v>514</v>
      </c>
      <c r="AW58" s="1" t="s">
        <v>515</v>
      </c>
      <c r="AX58" s="1" t="s">
        <v>516</v>
      </c>
      <c r="AY58" s="1" t="s">
        <v>72</v>
      </c>
      <c r="AZ58" s="1">
        <v>15.8</v>
      </c>
      <c r="BA58" s="1" t="s">
        <v>347</v>
      </c>
      <c r="BB58" s="1"/>
      <c r="BC58" s="1"/>
      <c r="BD58" s="1"/>
    </row>
    <row r="59" ht="33" customHeight="1" spans="1:56">
      <c r="A59" s="13" t="s">
        <v>53</v>
      </c>
      <c r="B59" s="14"/>
      <c r="C59" s="15" t="s">
        <v>517</v>
      </c>
      <c r="D59" s="15" t="s">
        <v>517</v>
      </c>
      <c r="E59" s="1">
        <v>1</v>
      </c>
      <c r="F59" s="3">
        <v>1.02</v>
      </c>
      <c r="G59" s="1" t="s">
        <v>55</v>
      </c>
      <c r="H59" s="16" t="str">
        <f t="shared" si="0"/>
        <v>LED LIGHT</v>
      </c>
      <c r="I59" s="16" t="str">
        <f t="shared" si="1"/>
        <v>ABS</v>
      </c>
      <c r="J59" s="16" t="s">
        <v>518</v>
      </c>
      <c r="K59" s="17" t="str">
        <f t="shared" si="2"/>
        <v>今川 亜由美 [イマガワ アユミ]</v>
      </c>
      <c r="L59" s="17"/>
      <c r="M59" s="18" t="str">
        <f t="shared" si="3"/>
        <v>香川県三豊市仁尾町仁尾丁1452-30</v>
      </c>
      <c r="N59" s="19" t="str">
        <f t="shared" si="4"/>
        <v>香川県三豊市仁尾町仁尾丁1452-30</v>
      </c>
      <c r="O59" s="20" t="str">
        <f>MID(N59,MIN(IFERROR(FIND({0,1,2,3,4,5,6,7,8,9},N59),LEN(N59)+1)),LEN(N59))</f>
        <v>1452-30</v>
      </c>
      <c r="P59" s="20" t="str">
        <f t="shared" si="5"/>
        <v> 1452-30</v>
      </c>
      <c r="Q59" s="19" t="s">
        <v>519</v>
      </c>
      <c r="R59" s="21" t="s">
        <v>520</v>
      </c>
      <c r="S59" s="22" t="s">
        <v>59</v>
      </c>
      <c r="T59" s="22" t="s">
        <v>60</v>
      </c>
      <c r="U59" s="23" t="s">
        <v>61</v>
      </c>
      <c r="V59" s="23" t="s">
        <v>62</v>
      </c>
      <c r="W59" s="24"/>
      <c r="X59" s="25">
        <f t="shared" si="6"/>
        <v>6</v>
      </c>
      <c r="Y59" s="23" t="s">
        <v>63</v>
      </c>
      <c r="Z59" s="23" t="s">
        <v>62</v>
      </c>
      <c r="AA59" s="23"/>
      <c r="AB59" s="23" t="s">
        <v>64</v>
      </c>
      <c r="AD59" s="19" t="s">
        <v>518</v>
      </c>
      <c r="AE59" s="1" t="str">
        <f t="shared" si="7"/>
        <v>香川県三豊市仁尾町仁尾丁1452-30</v>
      </c>
      <c r="AF59" s="1" t="s">
        <v>520</v>
      </c>
      <c r="AG59" s="1" t="s">
        <v>519</v>
      </c>
      <c r="AH59" s="1" t="s">
        <v>384</v>
      </c>
      <c r="AI59" s="1" t="str">
        <f t="shared" si="8"/>
        <v> 内本町2‐3‐8</v>
      </c>
      <c r="AJ59" s="1" t="s">
        <v>385</v>
      </c>
      <c r="AK59" s="26" t="s">
        <v>67</v>
      </c>
      <c r="AL59" s="26">
        <v>1</v>
      </c>
      <c r="AM59" s="19" t="str">
        <f ca="1" t="shared" si="10"/>
        <v>PJP001</v>
      </c>
      <c r="AN59" s="1" t="str">
        <f ca="1" t="shared" si="9"/>
        <v/>
      </c>
      <c r="AU59" s="1" t="s">
        <v>521</v>
      </c>
      <c r="AV59" s="1" t="s">
        <v>522</v>
      </c>
      <c r="AW59" s="1" t="s">
        <v>523</v>
      </c>
      <c r="AX59" s="1" t="s">
        <v>524</v>
      </c>
      <c r="AY59" s="1" t="s">
        <v>72</v>
      </c>
      <c r="AZ59" s="1">
        <v>6.34</v>
      </c>
      <c r="BA59" s="1" t="s">
        <v>389</v>
      </c>
      <c r="BB59" s="1"/>
      <c r="BC59" s="1"/>
      <c r="BD59" s="1"/>
    </row>
    <row r="60" ht="33" customHeight="1" spans="1:56">
      <c r="A60" s="13" t="s">
        <v>53</v>
      </c>
      <c r="B60" s="14"/>
      <c r="C60" s="15" t="s">
        <v>525</v>
      </c>
      <c r="D60" s="15" t="s">
        <v>525</v>
      </c>
      <c r="E60" s="1">
        <v>1</v>
      </c>
      <c r="F60" s="3">
        <v>1.33</v>
      </c>
      <c r="G60" s="1" t="s">
        <v>55</v>
      </c>
      <c r="H60" s="16" t="str">
        <f t="shared" si="0"/>
        <v>TOY</v>
      </c>
      <c r="I60" s="16" t="str">
        <f t="shared" si="1"/>
        <v>PLASTIC</v>
      </c>
      <c r="J60" s="16" t="s">
        <v>526</v>
      </c>
      <c r="K60" s="17" t="str">
        <f t="shared" si="2"/>
        <v>林 竜生</v>
      </c>
      <c r="L60" s="17"/>
      <c r="M60" s="18" t="str">
        <f t="shared" si="3"/>
        <v>岐阜県岐阜市粟野東3丁目210番地</v>
      </c>
      <c r="N60" s="19" t="str">
        <f t="shared" si="4"/>
        <v>岐阜県岐阜市粟野東3丁目210番地</v>
      </c>
      <c r="O60" s="20" t="str">
        <f>MID(N60,MIN(IFERROR(FIND({0,1,2,3,4,5,6,7,8,9},N60),LEN(N60)+1)),LEN(N60))</f>
        <v>3丁目210番地</v>
      </c>
      <c r="P60" s="20" t="str">
        <f t="shared" si="5"/>
        <v> 3丁目210番地</v>
      </c>
      <c r="Q60" s="19" t="s">
        <v>527</v>
      </c>
      <c r="R60" s="21" t="s">
        <v>528</v>
      </c>
      <c r="S60" s="22" t="s">
        <v>59</v>
      </c>
      <c r="T60" s="22" t="s">
        <v>60</v>
      </c>
      <c r="U60" s="23" t="s">
        <v>61</v>
      </c>
      <c r="V60" s="23" t="s">
        <v>62</v>
      </c>
      <c r="W60" s="24"/>
      <c r="X60" s="25">
        <f t="shared" si="6"/>
        <v>15</v>
      </c>
      <c r="Y60" s="23" t="s">
        <v>63</v>
      </c>
      <c r="Z60" s="23" t="s">
        <v>62</v>
      </c>
      <c r="AA60" s="23"/>
      <c r="AB60" s="23" t="s">
        <v>64</v>
      </c>
      <c r="AD60" s="19" t="s">
        <v>526</v>
      </c>
      <c r="AE60" s="1" t="str">
        <f t="shared" si="7"/>
        <v>岐阜県岐阜市粟野東3丁目210番地</v>
      </c>
      <c r="AF60" s="1" t="s">
        <v>528</v>
      </c>
      <c r="AG60" s="1" t="s">
        <v>527</v>
      </c>
      <c r="AH60" s="1" t="s">
        <v>125</v>
      </c>
      <c r="AI60" s="1" t="str">
        <f t="shared" si="8"/>
        <v> 滋賀県甲賀市甲南町野尻558</v>
      </c>
      <c r="AJ60" s="1" t="s">
        <v>126</v>
      </c>
      <c r="AK60" s="26" t="s">
        <v>67</v>
      </c>
      <c r="AL60" s="26">
        <v>1</v>
      </c>
      <c r="AM60" s="19" t="str">
        <f ca="1" t="shared" si="10"/>
        <v>PJP001</v>
      </c>
      <c r="AN60" s="1" t="str">
        <f ca="1" t="shared" si="9"/>
        <v/>
      </c>
      <c r="AU60" s="1" t="s">
        <v>529</v>
      </c>
      <c r="AV60" s="1" t="s">
        <v>530</v>
      </c>
      <c r="AW60" s="1" t="s">
        <v>531</v>
      </c>
      <c r="AX60" s="1" t="s">
        <v>473</v>
      </c>
      <c r="AY60" s="1" t="s">
        <v>105</v>
      </c>
      <c r="AZ60" s="1">
        <v>15</v>
      </c>
      <c r="BA60" s="1" t="s">
        <v>132</v>
      </c>
      <c r="BB60" s="1"/>
      <c r="BC60" s="1"/>
      <c r="BD60" s="1"/>
    </row>
    <row r="61" ht="33" customHeight="1" spans="1:56">
      <c r="A61" s="13" t="s">
        <v>53</v>
      </c>
      <c r="B61" s="14"/>
      <c r="C61" s="15" t="s">
        <v>532</v>
      </c>
      <c r="D61" s="15" t="s">
        <v>532</v>
      </c>
      <c r="E61" s="1">
        <v>1</v>
      </c>
      <c r="F61" s="3">
        <v>0.52</v>
      </c>
      <c r="G61" s="1" t="s">
        <v>55</v>
      </c>
      <c r="H61" s="16" t="str">
        <f t="shared" si="0"/>
        <v>BEACH TOYS</v>
      </c>
      <c r="I61" s="16" t="str">
        <f t="shared" si="1"/>
        <v>PLASTIC</v>
      </c>
      <c r="J61" s="16" t="s">
        <v>533</v>
      </c>
      <c r="K61" s="17" t="str">
        <f t="shared" si="2"/>
        <v>野沢 琴美</v>
      </c>
      <c r="L61" s="17"/>
      <c r="M61" s="18" t="str">
        <f t="shared" si="3"/>
        <v>東京都練馬区春日町4-19-22</v>
      </c>
      <c r="N61" s="19" t="str">
        <f t="shared" si="4"/>
        <v>東京都練馬区春日町4-19-22</v>
      </c>
      <c r="O61" s="20" t="str">
        <f>MID(N61,MIN(IFERROR(FIND({0,1,2,3,4,5,6,7,8,9},N61),LEN(N61)+1)),LEN(N61))</f>
        <v>4-19-22</v>
      </c>
      <c r="P61" s="20" t="str">
        <f t="shared" si="5"/>
        <v> 4-19-22</v>
      </c>
      <c r="Q61" s="19" t="s">
        <v>534</v>
      </c>
      <c r="R61" s="21" t="s">
        <v>535</v>
      </c>
      <c r="S61" s="22" t="s">
        <v>59</v>
      </c>
      <c r="T61" s="22" t="s">
        <v>60</v>
      </c>
      <c r="U61" s="23" t="s">
        <v>61</v>
      </c>
      <c r="V61" s="23" t="s">
        <v>62</v>
      </c>
      <c r="W61" s="24"/>
      <c r="X61" s="25">
        <f t="shared" si="6"/>
        <v>12</v>
      </c>
      <c r="Y61" s="23" t="s">
        <v>63</v>
      </c>
      <c r="Z61" s="23" t="s">
        <v>62</v>
      </c>
      <c r="AA61" s="23"/>
      <c r="AB61" s="23" t="s">
        <v>64</v>
      </c>
      <c r="AD61" s="19" t="s">
        <v>533</v>
      </c>
      <c r="AE61" s="1" t="str">
        <f t="shared" si="7"/>
        <v>東京都練馬区春日町4-19-22</v>
      </c>
      <c r="AF61" s="1" t="s">
        <v>535</v>
      </c>
      <c r="AG61" s="1" t="s">
        <v>534</v>
      </c>
      <c r="AH61" s="1" t="s">
        <v>536</v>
      </c>
      <c r="AI61" s="1" t="str">
        <f t="shared" si="8"/>
        <v> 神奈川県秦野市戸川４７０－７</v>
      </c>
      <c r="AJ61" s="1" t="s">
        <v>537</v>
      </c>
      <c r="AK61" s="26" t="s">
        <v>67</v>
      </c>
      <c r="AL61" s="26">
        <v>1</v>
      </c>
      <c r="AM61" s="19" t="str">
        <f ca="1" t="shared" si="10"/>
        <v>JCNZZZ</v>
      </c>
      <c r="AN61" s="1" t="str">
        <f ca="1" t="shared" si="9"/>
        <v>TAOBAO0</v>
      </c>
      <c r="AU61" s="1" t="s">
        <v>68</v>
      </c>
      <c r="AV61" s="1" t="s">
        <v>538</v>
      </c>
      <c r="AW61" s="1" t="s">
        <v>539</v>
      </c>
      <c r="AX61" s="1" t="s">
        <v>540</v>
      </c>
      <c r="AY61" s="1" t="s">
        <v>94</v>
      </c>
      <c r="AZ61" s="1">
        <v>12</v>
      </c>
      <c r="BA61" s="1" t="s">
        <v>541</v>
      </c>
      <c r="BB61" s="1"/>
      <c r="BC61" s="1"/>
      <c r="BD61" s="1"/>
    </row>
    <row r="62" ht="33" customHeight="1" spans="1:56">
      <c r="A62" s="13" t="s">
        <v>53</v>
      </c>
      <c r="B62" s="14"/>
      <c r="C62" s="15" t="s">
        <v>542</v>
      </c>
      <c r="D62" s="15" t="s">
        <v>542</v>
      </c>
      <c r="E62" s="1">
        <v>1</v>
      </c>
      <c r="F62" s="3">
        <v>0.39</v>
      </c>
      <c r="G62" s="1" t="s">
        <v>55</v>
      </c>
      <c r="H62" s="16" t="str">
        <f t="shared" si="0"/>
        <v>BACKREST PILLOW</v>
      </c>
      <c r="I62" s="16" t="str">
        <f t="shared" si="1"/>
        <v>SPONGE</v>
      </c>
      <c r="J62" s="16" t="s">
        <v>543</v>
      </c>
      <c r="K62" s="17" t="str">
        <f t="shared" si="2"/>
        <v>長谷川 由美</v>
      </c>
      <c r="L62" s="17"/>
      <c r="M62" s="18" t="str">
        <f t="shared" si="3"/>
        <v>三重県鈴鹿市高塚町183-20</v>
      </c>
      <c r="N62" s="19" t="str">
        <f t="shared" si="4"/>
        <v>三重県鈴鹿市高塚町183-20</v>
      </c>
      <c r="O62" s="20" t="str">
        <f>MID(N62,MIN(IFERROR(FIND({0,1,2,3,4,5,6,7,8,9},N62),LEN(N62)+1)),LEN(N62))</f>
        <v>183-20</v>
      </c>
      <c r="P62" s="20" t="str">
        <f t="shared" si="5"/>
        <v> 183-20</v>
      </c>
      <c r="Q62" s="19" t="s">
        <v>544</v>
      </c>
      <c r="R62" s="21" t="s">
        <v>545</v>
      </c>
      <c r="S62" s="22" t="s">
        <v>59</v>
      </c>
      <c r="T62" s="22" t="s">
        <v>60</v>
      </c>
      <c r="U62" s="23" t="s">
        <v>61</v>
      </c>
      <c r="V62" s="23" t="s">
        <v>62</v>
      </c>
      <c r="W62" s="24"/>
      <c r="X62" s="25">
        <f t="shared" si="6"/>
        <v>17</v>
      </c>
      <c r="Y62" s="23" t="s">
        <v>63</v>
      </c>
      <c r="Z62" s="23" t="s">
        <v>62</v>
      </c>
      <c r="AA62" s="23"/>
      <c r="AB62" s="23" t="s">
        <v>64</v>
      </c>
      <c r="AD62" s="19" t="s">
        <v>543</v>
      </c>
      <c r="AE62" s="1" t="str">
        <f t="shared" si="7"/>
        <v>三重県鈴鹿市高塚町183-20</v>
      </c>
      <c r="AF62" s="1" t="s">
        <v>545</v>
      </c>
      <c r="AG62" s="1" t="s">
        <v>544</v>
      </c>
      <c r="AH62" s="1" t="s">
        <v>230</v>
      </c>
      <c r="AI62" s="1" t="str">
        <f t="shared" si="8"/>
        <v> 大阪府大阪市中央区安堂寺町2-1-3-901</v>
      </c>
      <c r="AJ62" s="1" t="s">
        <v>231</v>
      </c>
      <c r="AK62" s="26" t="s">
        <v>67</v>
      </c>
      <c r="AL62" s="26">
        <v>1</v>
      </c>
      <c r="AM62" s="19" t="str">
        <f ca="1" t="shared" si="10"/>
        <v>JCNZZZ</v>
      </c>
      <c r="AN62" s="1" t="str">
        <f ca="1" t="shared" si="9"/>
        <v>TAOBAO0</v>
      </c>
      <c r="AU62" s="1" t="s">
        <v>80</v>
      </c>
      <c r="AV62" s="1" t="s">
        <v>81</v>
      </c>
      <c r="AW62" s="1" t="s">
        <v>546</v>
      </c>
      <c r="AX62" s="1" t="s">
        <v>547</v>
      </c>
      <c r="AY62" s="1" t="s">
        <v>548</v>
      </c>
      <c r="AZ62" s="1">
        <v>17</v>
      </c>
      <c r="BA62" s="1" t="s">
        <v>236</v>
      </c>
      <c r="BB62" s="1"/>
      <c r="BC62" s="1"/>
      <c r="BD62" s="1"/>
    </row>
    <row r="63" ht="33" customHeight="1" spans="1:56">
      <c r="A63" s="13" t="s">
        <v>53</v>
      </c>
      <c r="B63" s="14"/>
      <c r="C63" s="15" t="s">
        <v>549</v>
      </c>
      <c r="D63" s="15" t="s">
        <v>549</v>
      </c>
      <c r="E63" s="1">
        <v>1</v>
      </c>
      <c r="F63" s="3">
        <v>1.28</v>
      </c>
      <c r="G63" s="1" t="s">
        <v>55</v>
      </c>
      <c r="H63" s="16" t="str">
        <f t="shared" si="0"/>
        <v>CRYSTAL LOTUS CANDLE HOLDER</v>
      </c>
      <c r="I63" s="16" t="str">
        <f t="shared" si="1"/>
        <v>WHITE CRYSTAL</v>
      </c>
      <c r="J63" s="16" t="s">
        <v>550</v>
      </c>
      <c r="K63" s="17" t="str">
        <f t="shared" si="2"/>
        <v>福永 つよみ</v>
      </c>
      <c r="L63" s="17"/>
      <c r="M63" s="18" t="str">
        <f t="shared" si="3"/>
        <v>山口県下関市川中本町1-1513</v>
      </c>
      <c r="N63" s="19" t="str">
        <f t="shared" si="4"/>
        <v>山口県下関市川中本町1-1513</v>
      </c>
      <c r="O63" s="20" t="str">
        <f>MID(N63,MIN(IFERROR(FIND({0,1,2,3,4,5,6,7,8,9},N63),LEN(N63)+1)),LEN(N63))</f>
        <v>1-1513</v>
      </c>
      <c r="P63" s="20" t="str">
        <f t="shared" si="5"/>
        <v> 1-1513</v>
      </c>
      <c r="Q63" s="19" t="s">
        <v>551</v>
      </c>
      <c r="R63" s="21" t="s">
        <v>552</v>
      </c>
      <c r="S63" s="22" t="s">
        <v>59</v>
      </c>
      <c r="T63" s="22" t="s">
        <v>60</v>
      </c>
      <c r="U63" s="23" t="s">
        <v>61</v>
      </c>
      <c r="V63" s="23" t="s">
        <v>62</v>
      </c>
      <c r="W63" s="24"/>
      <c r="X63" s="25">
        <f t="shared" si="6"/>
        <v>16</v>
      </c>
      <c r="Y63" s="23" t="s">
        <v>63</v>
      </c>
      <c r="Z63" s="23" t="s">
        <v>62</v>
      </c>
      <c r="AA63" s="23"/>
      <c r="AB63" s="23" t="s">
        <v>64</v>
      </c>
      <c r="AD63" s="19" t="s">
        <v>550</v>
      </c>
      <c r="AE63" s="1" t="str">
        <f t="shared" si="7"/>
        <v>山口県下関市川中本町1-1513</v>
      </c>
      <c r="AF63" s="1" t="s">
        <v>552</v>
      </c>
      <c r="AG63" s="1" t="s">
        <v>551</v>
      </c>
      <c r="AH63" s="1" t="s">
        <v>274</v>
      </c>
      <c r="AI63" s="1" t="str">
        <f t="shared" si="8"/>
        <v> 東京都西多摩郡奥多摩町留浦１０１８</v>
      </c>
      <c r="AJ63" s="1" t="s">
        <v>275</v>
      </c>
      <c r="AK63" s="26" t="s">
        <v>67</v>
      </c>
      <c r="AL63" s="26">
        <v>1</v>
      </c>
      <c r="AM63" s="19" t="str">
        <f ca="1" t="shared" si="10"/>
        <v>JCNZZZ</v>
      </c>
      <c r="AN63" s="1" t="str">
        <f ca="1" t="shared" si="9"/>
        <v>JinDdong</v>
      </c>
      <c r="AU63" s="1" t="s">
        <v>553</v>
      </c>
      <c r="AV63" s="1" t="s">
        <v>554</v>
      </c>
      <c r="AW63" s="1" t="s">
        <v>555</v>
      </c>
      <c r="AX63" s="1" t="s">
        <v>556</v>
      </c>
      <c r="AY63" s="1" t="s">
        <v>557</v>
      </c>
      <c r="AZ63" s="1">
        <v>16</v>
      </c>
      <c r="BA63" s="1" t="s">
        <v>280</v>
      </c>
      <c r="BB63" s="1"/>
      <c r="BC63" s="1"/>
      <c r="BD63" s="1"/>
    </row>
    <row r="64" ht="33" customHeight="1" spans="1:56">
      <c r="A64" s="13" t="s">
        <v>53</v>
      </c>
      <c r="B64" s="14"/>
      <c r="C64" s="15" t="s">
        <v>558</v>
      </c>
      <c r="D64" s="15" t="s">
        <v>558</v>
      </c>
      <c r="E64" s="1">
        <v>1</v>
      </c>
      <c r="F64" s="3">
        <v>3.47</v>
      </c>
      <c r="G64" s="1" t="s">
        <v>55</v>
      </c>
      <c r="H64" s="16" t="str">
        <f t="shared" si="0"/>
        <v>FITNESS BELT</v>
      </c>
      <c r="I64" s="16" t="str">
        <f t="shared" si="1"/>
        <v>ABS</v>
      </c>
      <c r="J64" s="16" t="s">
        <v>559</v>
      </c>
      <c r="K64" s="17" t="str">
        <f t="shared" si="2"/>
        <v>桜井 幸夫 [サクライ ユキオ]</v>
      </c>
      <c r="L64" s="17"/>
      <c r="M64" s="18" t="str">
        <f t="shared" si="3"/>
        <v>神奈川県横浜市戸塚区原宿1-47-4</v>
      </c>
      <c r="N64" s="19" t="str">
        <f t="shared" si="4"/>
        <v>神奈川県横浜市戸塚区原宿1-47-4</v>
      </c>
      <c r="O64" s="20" t="str">
        <f>MID(N64,MIN(IFERROR(FIND({0,1,2,3,4,5,6,7,8,9},N64),LEN(N64)+1)),LEN(N64))</f>
        <v>1-47-4</v>
      </c>
      <c r="P64" s="20" t="str">
        <f t="shared" si="5"/>
        <v> 1-47-4</v>
      </c>
      <c r="Q64" s="19" t="s">
        <v>560</v>
      </c>
      <c r="R64" s="21" t="s">
        <v>561</v>
      </c>
      <c r="S64" s="22" t="s">
        <v>59</v>
      </c>
      <c r="T64" s="22" t="s">
        <v>60</v>
      </c>
      <c r="U64" s="23" t="s">
        <v>61</v>
      </c>
      <c r="V64" s="23" t="s">
        <v>62</v>
      </c>
      <c r="W64" s="24"/>
      <c r="X64" s="25">
        <f t="shared" si="6"/>
        <v>11</v>
      </c>
      <c r="Y64" s="23" t="s">
        <v>63</v>
      </c>
      <c r="Z64" s="23" t="s">
        <v>62</v>
      </c>
      <c r="AA64" s="23"/>
      <c r="AB64" s="23" t="s">
        <v>64</v>
      </c>
      <c r="AD64" s="19" t="s">
        <v>559</v>
      </c>
      <c r="AE64" s="1" t="str">
        <f t="shared" si="7"/>
        <v>神奈川県横浜市戸塚区原宿1-47-4</v>
      </c>
      <c r="AF64" s="1" t="s">
        <v>561</v>
      </c>
      <c r="AG64" s="1" t="s">
        <v>560</v>
      </c>
      <c r="AH64" s="1" t="s">
        <v>342</v>
      </c>
      <c r="AI64" s="1" t="str">
        <f t="shared" si="8"/>
        <v> 中央区内本町2‐3‐8　ダイアパレスビル本町 1006ミズイシテクノロジー</v>
      </c>
      <c r="AJ64" s="1" t="s">
        <v>343</v>
      </c>
      <c r="AK64" s="26" t="s">
        <v>67</v>
      </c>
      <c r="AL64" s="26">
        <v>1</v>
      </c>
      <c r="AM64" s="19" t="str">
        <f ca="1" t="shared" si="10"/>
        <v>PJP001</v>
      </c>
      <c r="AN64" s="1" t="str">
        <f ca="1" t="shared" si="9"/>
        <v/>
      </c>
      <c r="AU64" s="1" t="s">
        <v>101</v>
      </c>
      <c r="AV64" s="1" t="s">
        <v>562</v>
      </c>
      <c r="AW64" s="1" t="s">
        <v>563</v>
      </c>
      <c r="AX64" s="1" t="s">
        <v>564</v>
      </c>
      <c r="AY64" s="1" t="s">
        <v>72</v>
      </c>
      <c r="AZ64" s="1">
        <v>11</v>
      </c>
      <c r="BA64" s="1" t="s">
        <v>347</v>
      </c>
      <c r="BB64" s="1"/>
      <c r="BC64" s="1"/>
      <c r="BD64" s="1"/>
    </row>
    <row r="65" ht="33" customHeight="1" spans="1:56">
      <c r="A65" s="13" t="s">
        <v>53</v>
      </c>
      <c r="B65" s="14"/>
      <c r="C65" s="15" t="s">
        <v>565</v>
      </c>
      <c r="D65" s="15" t="s">
        <v>565</v>
      </c>
      <c r="E65" s="1">
        <v>1</v>
      </c>
      <c r="F65" s="3">
        <v>1.97</v>
      </c>
      <c r="G65" s="1" t="s">
        <v>55</v>
      </c>
      <c r="H65" s="16" t="str">
        <f t="shared" si="0"/>
        <v>PLASTIC TOYS</v>
      </c>
      <c r="I65" s="16" t="str">
        <f t="shared" si="1"/>
        <v>ABS</v>
      </c>
      <c r="J65" s="16" t="s">
        <v>566</v>
      </c>
      <c r="K65" s="17" t="str">
        <f t="shared" si="2"/>
        <v>楓 後藤</v>
      </c>
      <c r="L65" s="17"/>
      <c r="M65" s="18" t="str">
        <f t="shared" si="3"/>
        <v>福岡県 城市 北九州市戸畑区中原西 地址 1-11-6</v>
      </c>
      <c r="N65" s="19" t="str">
        <f t="shared" si="4"/>
        <v>福岡県 城市 北九州市戸畑区中原西 地址 1-11-6</v>
      </c>
      <c r="O65" s="20" t="str">
        <f>MID(N65,MIN(IFERROR(FIND({0,1,2,3,4,5,6,7,8,9},N65),LEN(N65)+1)),LEN(N65))</f>
        <v>1-11-6</v>
      </c>
      <c r="P65" s="20" t="str">
        <f t="shared" si="5"/>
        <v> 1-11-6</v>
      </c>
      <c r="Q65" s="19" t="s">
        <v>567</v>
      </c>
      <c r="R65" s="21" t="s">
        <v>568</v>
      </c>
      <c r="S65" s="22" t="s">
        <v>59</v>
      </c>
      <c r="T65" s="22" t="s">
        <v>60</v>
      </c>
      <c r="U65" s="23" t="s">
        <v>61</v>
      </c>
      <c r="V65" s="23" t="s">
        <v>62</v>
      </c>
      <c r="W65" s="24"/>
      <c r="X65" s="25">
        <f t="shared" si="6"/>
        <v>12</v>
      </c>
      <c r="Y65" s="23" t="s">
        <v>63</v>
      </c>
      <c r="Z65" s="23" t="s">
        <v>62</v>
      </c>
      <c r="AA65" s="23"/>
      <c r="AB65" s="23" t="s">
        <v>64</v>
      </c>
      <c r="AD65" s="19" t="s">
        <v>566</v>
      </c>
      <c r="AE65" s="1" t="str">
        <f t="shared" si="7"/>
        <v>福岡県 城市 北九州市戸畑区中原西 地址 1-11-6</v>
      </c>
      <c r="AF65" s="1" t="s">
        <v>568</v>
      </c>
      <c r="AG65" s="1" t="s">
        <v>567</v>
      </c>
      <c r="AH65" s="1"/>
      <c r="AI65" s="1" t="str">
        <f t="shared" si="8"/>
        <v> </v>
      </c>
      <c r="AJ65" s="1" t="s">
        <v>91</v>
      </c>
      <c r="AK65" s="26" t="s">
        <v>67</v>
      </c>
      <c r="AL65" s="26">
        <v>1</v>
      </c>
      <c r="AM65" s="19" t="str">
        <f ca="1" t="shared" si="10"/>
        <v>JCNZZZ</v>
      </c>
      <c r="AN65" s="1" t="str">
        <f ca="1" t="shared" si="9"/>
        <v>ALIBABA</v>
      </c>
      <c r="AU65" s="1"/>
      <c r="AV65" s="1"/>
      <c r="AW65" s="1" t="s">
        <v>569</v>
      </c>
      <c r="AX65" s="1" t="s">
        <v>310</v>
      </c>
      <c r="AY65" s="1" t="s">
        <v>72</v>
      </c>
      <c r="AZ65" s="1">
        <v>12.8</v>
      </c>
      <c r="BA65" s="1" t="s">
        <v>91</v>
      </c>
      <c r="BB65" s="1"/>
      <c r="BC65" s="1"/>
      <c r="BD65" s="1"/>
    </row>
    <row r="66" ht="33" customHeight="1" spans="1:56">
      <c r="A66" s="13" t="s">
        <v>53</v>
      </c>
      <c r="B66" s="14"/>
      <c r="C66" s="15" t="s">
        <v>570</v>
      </c>
      <c r="D66" s="15" t="s">
        <v>570</v>
      </c>
      <c r="E66" s="1">
        <v>1</v>
      </c>
      <c r="F66" s="3">
        <v>3.77</v>
      </c>
      <c r="G66" s="1" t="s">
        <v>55</v>
      </c>
      <c r="H66" s="16" t="str">
        <f t="shared" si="0"/>
        <v>PLASTIC TOYS</v>
      </c>
      <c r="I66" s="16" t="str">
        <f t="shared" si="1"/>
        <v>ABS</v>
      </c>
      <c r="J66" s="16" t="s">
        <v>571</v>
      </c>
      <c r="K66" s="17" t="str">
        <f t="shared" si="2"/>
        <v>安达翔</v>
      </c>
      <c r="L66" s="17"/>
      <c r="M66" s="18" t="str">
        <f t="shared" si="3"/>
        <v>埼玉県狭山市大字水野５０７－１</v>
      </c>
      <c r="N66" s="19" t="str">
        <f t="shared" si="4"/>
        <v>埼玉県狭山市大字水野５０７－１</v>
      </c>
      <c r="O66" s="20" t="str">
        <f>MID(N66,MIN(IFERROR(FIND({0,1,2,3,4,5,6,7,8,9},N66),LEN(N66)+1)),LEN(N66))</f>
        <v/>
      </c>
      <c r="P66" s="20" t="str">
        <f t="shared" si="5"/>
        <v> </v>
      </c>
      <c r="Q66" s="19" t="s">
        <v>572</v>
      </c>
      <c r="R66" s="21" t="s">
        <v>573</v>
      </c>
      <c r="S66" s="22" t="s">
        <v>59</v>
      </c>
      <c r="T66" s="22" t="s">
        <v>60</v>
      </c>
      <c r="U66" s="23" t="s">
        <v>61</v>
      </c>
      <c r="V66" s="23" t="s">
        <v>62</v>
      </c>
      <c r="W66" s="24"/>
      <c r="X66" s="25">
        <f t="shared" si="6"/>
        <v>12</v>
      </c>
      <c r="Y66" s="23" t="s">
        <v>63</v>
      </c>
      <c r="Z66" s="23" t="s">
        <v>62</v>
      </c>
      <c r="AA66" s="23"/>
      <c r="AB66" s="23" t="s">
        <v>64</v>
      </c>
      <c r="AD66" s="19" t="s">
        <v>571</v>
      </c>
      <c r="AE66" s="1" t="str">
        <f t="shared" si="7"/>
        <v>埼玉県狭山市大字水野５０７－１</v>
      </c>
      <c r="AF66" s="1" t="s">
        <v>573</v>
      </c>
      <c r="AG66" s="1" t="s">
        <v>572</v>
      </c>
      <c r="AH66" s="1"/>
      <c r="AI66" s="1" t="str">
        <f t="shared" si="8"/>
        <v> </v>
      </c>
      <c r="AJ66" s="1" t="s">
        <v>91</v>
      </c>
      <c r="AK66" s="26" t="s">
        <v>67</v>
      </c>
      <c r="AL66" s="26">
        <v>1</v>
      </c>
      <c r="AM66" s="19" t="str">
        <f ca="1" t="shared" si="10"/>
        <v>JCNZZZ</v>
      </c>
      <c r="AN66" s="1" t="str">
        <f ca="1" t="shared" si="9"/>
        <v>TAOBAO0</v>
      </c>
      <c r="AU66" s="1"/>
      <c r="AV66" s="1"/>
      <c r="AW66" s="1" t="s">
        <v>574</v>
      </c>
      <c r="AX66" s="1" t="s">
        <v>310</v>
      </c>
      <c r="AY66" s="1" t="s">
        <v>72</v>
      </c>
      <c r="AZ66" s="1">
        <v>12.8</v>
      </c>
      <c r="BA66" s="1" t="s">
        <v>91</v>
      </c>
      <c r="BB66" s="1"/>
      <c r="BC66" s="1"/>
      <c r="BD66" s="1"/>
    </row>
    <row r="67" ht="33" customHeight="1" spans="1:56">
      <c r="A67" s="13" t="s">
        <v>53</v>
      </c>
      <c r="B67" s="14"/>
      <c r="C67" s="15" t="s">
        <v>575</v>
      </c>
      <c r="D67" s="15" t="s">
        <v>575</v>
      </c>
      <c r="E67" s="1">
        <v>1</v>
      </c>
      <c r="F67" s="3">
        <v>3.74</v>
      </c>
      <c r="G67" s="1" t="s">
        <v>55</v>
      </c>
      <c r="H67" s="16" t="str">
        <f t="shared" ref="H67:H126" si="11">UPPER(AX67)</f>
        <v>FAN</v>
      </c>
      <c r="I67" s="16" t="str">
        <f t="shared" ref="I67:I126" si="12">UPPER(AY67)</f>
        <v>ABS</v>
      </c>
      <c r="J67" s="16" t="s">
        <v>571</v>
      </c>
      <c r="K67" s="17" t="str">
        <f t="shared" ref="K67:K126" si="13">UPPER(J67)</f>
        <v>安达翔</v>
      </c>
      <c r="L67" s="17"/>
      <c r="M67" s="18" t="str">
        <f t="shared" ref="M67:M126" si="14">AU67&amp;AV67&amp;AW67&amp;BD67</f>
        <v>埼玉県狭山市大字水野５０７－１</v>
      </c>
      <c r="N67" s="19" t="str">
        <f t="shared" ref="N67:N126" si="15">UPPER(M67)</f>
        <v>埼玉県狭山市大字水野５０７－１</v>
      </c>
      <c r="O67" s="20" t="str">
        <f>MID(N67,MIN(IFERROR(FIND({0,1,2,3,4,5,6,7,8,9},N67),LEN(N67)+1)),LEN(N67))</f>
        <v/>
      </c>
      <c r="P67" s="20" t="str">
        <f t="shared" ref="P67:P126" si="16">L67&amp;" "&amp;O67</f>
        <v> </v>
      </c>
      <c r="Q67" s="19" t="s">
        <v>572</v>
      </c>
      <c r="R67" s="21" t="s">
        <v>573</v>
      </c>
      <c r="S67" s="22" t="s">
        <v>59</v>
      </c>
      <c r="T67" s="22" t="s">
        <v>60</v>
      </c>
      <c r="U67" s="23" t="s">
        <v>61</v>
      </c>
      <c r="V67" s="23" t="s">
        <v>62</v>
      </c>
      <c r="W67" s="24"/>
      <c r="X67" s="25">
        <f t="shared" ref="X67:X126" si="17">INT(AZ67)</f>
        <v>13</v>
      </c>
      <c r="Y67" s="23" t="s">
        <v>63</v>
      </c>
      <c r="Z67" s="23" t="s">
        <v>62</v>
      </c>
      <c r="AA67" s="23"/>
      <c r="AB67" s="23" t="s">
        <v>64</v>
      </c>
      <c r="AD67" s="19" t="s">
        <v>571</v>
      </c>
      <c r="AE67" s="1" t="str">
        <f t="shared" ref="AE67:AE126" si="18">AU67&amp;AV67&amp;AW67&amp;BD67</f>
        <v>埼玉県狭山市大字水野５０７－１</v>
      </c>
      <c r="AF67" s="1" t="s">
        <v>573</v>
      </c>
      <c r="AG67" s="1" t="s">
        <v>572</v>
      </c>
      <c r="AH67" s="1"/>
      <c r="AI67" s="1" t="str">
        <f t="shared" ref="AI67:AI126" si="19">BB67&amp;BC67&amp;BA67</f>
        <v> </v>
      </c>
      <c r="AJ67" s="1" t="s">
        <v>91</v>
      </c>
      <c r="AK67" s="26" t="s">
        <v>67</v>
      </c>
      <c r="AL67" s="26">
        <v>1</v>
      </c>
      <c r="AM67" s="19" t="str">
        <f ca="1" t="shared" ref="AM67:AM126" si="20">IF(OR(ISNUMBER(SEARCH("amazon",AH67)),ISNUMBER(SEARCH("亚马逊",AH67))),"PUS001",IF(OR(ISNUMBER(SEARCH("rakuten",AH67)),ISNUMBER(SEARCH("楽天",AH67)),ISNUMBER(SEARCH("乐天",AH67))),"PJP001",IF(ISNUMBER(SEARCH("tik tok shop",AH67)),"PSG003",IF(ISNUMBER(SEARCH("temu",AH67)),"PSG001",IF(ISNUMBER(SEARCH("shein",AH67)),"JSG001",IF(OR(ISNUMBER(SEARCH("yahoo",AH67)),ISNUMBER(SEARCH("雅虎",AH67)),ISNUMBER(SEARCH("雅",AH67)),LEFT(UPPER(AH67),1)="Y"),"PJP005",IF(ISNUMBER(SEARCH("DDA JAPAN",AH67)),CHOOSE(RANDBETWEEN(1,3),"temu","PSG003","PSG001"),"JCNZZZ")))))))</f>
        <v>JCNZZZ</v>
      </c>
      <c r="AN67" s="1" t="str">
        <f ca="1" t="shared" ref="AN67:AN126" si="21">IF(ISNUMBER(SEARCH("JCNZZZ",AM67)),CHOOSE(RANDBETWEEN(1,4),"TAOBAO0","JinDdong","PingDduoDduo","ALIBABA"),"")</f>
        <v>JinDdong</v>
      </c>
      <c r="AU67" s="1"/>
      <c r="AV67" s="1"/>
      <c r="AW67" s="1" t="s">
        <v>574</v>
      </c>
      <c r="AX67" s="1" t="s">
        <v>576</v>
      </c>
      <c r="AY67" s="1" t="s">
        <v>72</v>
      </c>
      <c r="AZ67" s="1">
        <v>13.8</v>
      </c>
      <c r="BA67" s="1" t="s">
        <v>91</v>
      </c>
      <c r="BB67" s="1"/>
      <c r="BC67" s="1"/>
      <c r="BD67" s="1"/>
    </row>
    <row r="68" ht="33" customHeight="1" spans="1:56">
      <c r="A68" s="13" t="s">
        <v>53</v>
      </c>
      <c r="B68" s="14"/>
      <c r="C68" s="15" t="s">
        <v>577</v>
      </c>
      <c r="D68" s="15" t="s">
        <v>577</v>
      </c>
      <c r="E68" s="1">
        <v>1</v>
      </c>
      <c r="F68" s="3">
        <v>1.73</v>
      </c>
      <c r="G68" s="1" t="s">
        <v>55</v>
      </c>
      <c r="H68" s="16" t="str">
        <f t="shared" si="11"/>
        <v>CAMPING TOYS,BAG</v>
      </c>
      <c r="I68" s="16" t="str">
        <f t="shared" si="12"/>
        <v>プラスチック</v>
      </c>
      <c r="J68" s="16" t="s">
        <v>578</v>
      </c>
      <c r="K68" s="17" t="str">
        <f t="shared" si="13"/>
        <v>佐久間 美悠菜 [サクマ ミユナ]</v>
      </c>
      <c r="L68" s="17"/>
      <c r="M68" s="18" t="str">
        <f t="shared" si="14"/>
        <v>福島県郡山市大槻町字針生北30-5</v>
      </c>
      <c r="N68" s="19" t="str">
        <f t="shared" si="15"/>
        <v>福島県郡山市大槻町字針生北30-5</v>
      </c>
      <c r="O68" s="20" t="str">
        <f>MID(N68,MIN(IFERROR(FIND({0,1,2,3,4,5,6,7,8,9},N68),LEN(N68)+1)),LEN(N68))</f>
        <v>30-5</v>
      </c>
      <c r="P68" s="20" t="str">
        <f t="shared" si="16"/>
        <v> 30-5</v>
      </c>
      <c r="Q68" s="19" t="s">
        <v>579</v>
      </c>
      <c r="R68" s="21" t="s">
        <v>580</v>
      </c>
      <c r="S68" s="22" t="s">
        <v>59</v>
      </c>
      <c r="T68" s="22" t="s">
        <v>60</v>
      </c>
      <c r="U68" s="23" t="s">
        <v>61</v>
      </c>
      <c r="V68" s="23" t="s">
        <v>62</v>
      </c>
      <c r="W68" s="24"/>
      <c r="X68" s="25">
        <f t="shared" si="17"/>
        <v>5</v>
      </c>
      <c r="Y68" s="23" t="s">
        <v>63</v>
      </c>
      <c r="Z68" s="23" t="s">
        <v>62</v>
      </c>
      <c r="AA68" s="23"/>
      <c r="AB68" s="23" t="s">
        <v>64</v>
      </c>
      <c r="AD68" s="19" t="s">
        <v>578</v>
      </c>
      <c r="AE68" s="1" t="str">
        <f t="shared" si="18"/>
        <v>福島県郡山市大槻町字針生北30-5</v>
      </c>
      <c r="AF68" s="1" t="s">
        <v>580</v>
      </c>
      <c r="AG68" s="1" t="s">
        <v>579</v>
      </c>
      <c r="AH68" s="1" t="s">
        <v>581</v>
      </c>
      <c r="AI68" s="1" t="str">
        <f t="shared" si="19"/>
        <v> 大阪府大阪市東住吉区住道矢田七丁目１０番１３号</v>
      </c>
      <c r="AJ68" s="1" t="s">
        <v>582</v>
      </c>
      <c r="AK68" s="26" t="s">
        <v>67</v>
      </c>
      <c r="AL68" s="26">
        <v>1</v>
      </c>
      <c r="AM68" s="19" t="str">
        <f ca="1" t="shared" si="20"/>
        <v>PJP001</v>
      </c>
      <c r="AN68" s="1" t="str">
        <f ca="1" t="shared" si="21"/>
        <v/>
      </c>
      <c r="AU68" s="1" t="s">
        <v>583</v>
      </c>
      <c r="AV68" s="1" t="s">
        <v>584</v>
      </c>
      <c r="AW68" s="1" t="s">
        <v>585</v>
      </c>
      <c r="AX68" s="1" t="s">
        <v>586</v>
      </c>
      <c r="AY68" s="1" t="s">
        <v>587</v>
      </c>
      <c r="AZ68" s="1">
        <v>5</v>
      </c>
      <c r="BA68" s="1" t="s">
        <v>588</v>
      </c>
      <c r="BB68" s="1"/>
      <c r="BC68" s="1"/>
      <c r="BD68" s="1"/>
    </row>
    <row r="69" ht="33" customHeight="1" spans="1:56">
      <c r="A69" s="13" t="s">
        <v>53</v>
      </c>
      <c r="B69" s="14"/>
      <c r="C69" s="15" t="s">
        <v>589</v>
      </c>
      <c r="D69" s="15" t="s">
        <v>589</v>
      </c>
      <c r="E69" s="1">
        <v>1</v>
      </c>
      <c r="F69" s="3">
        <v>0.32</v>
      </c>
      <c r="G69" s="1" t="s">
        <v>55</v>
      </c>
      <c r="H69" s="16" t="str">
        <f t="shared" si="11"/>
        <v>CLEANING SUPPLIES</v>
      </c>
      <c r="I69" s="16" t="str">
        <f t="shared" si="12"/>
        <v>PC</v>
      </c>
      <c r="J69" s="16" t="s">
        <v>590</v>
      </c>
      <c r="K69" s="17" t="str">
        <f t="shared" si="13"/>
        <v>JEONG EUI KYEOM</v>
      </c>
      <c r="L69" s="17"/>
      <c r="M69" s="18" t="str">
        <f t="shared" si="14"/>
        <v>東京都千代田区神田佐久間4-15-1PREMIUM CUBE 秋葉原1301号</v>
      </c>
      <c r="N69" s="19" t="str">
        <f t="shared" si="15"/>
        <v>東京都千代田区神田佐久間4-15-1PREMIUM CUBE 秋葉原1301号</v>
      </c>
      <c r="O69" s="20" t="str">
        <f>MID(N69,MIN(IFERROR(FIND({0,1,2,3,4,5,6,7,8,9},N69),LEN(N69)+1)),LEN(N69))</f>
        <v>4-15-1PREMIUM CUBE 秋葉原1301号</v>
      </c>
      <c r="P69" s="20" t="str">
        <f t="shared" si="16"/>
        <v> 4-15-1PREMIUM CUBE 秋葉原1301号</v>
      </c>
      <c r="Q69" s="19" t="s">
        <v>507</v>
      </c>
      <c r="R69" s="21" t="s">
        <v>591</v>
      </c>
      <c r="S69" s="22" t="s">
        <v>59</v>
      </c>
      <c r="T69" s="22" t="s">
        <v>60</v>
      </c>
      <c r="U69" s="23" t="s">
        <v>61</v>
      </c>
      <c r="V69" s="23" t="s">
        <v>62</v>
      </c>
      <c r="W69" s="24"/>
      <c r="X69" s="25">
        <f t="shared" si="17"/>
        <v>14</v>
      </c>
      <c r="Y69" s="23" t="s">
        <v>63</v>
      </c>
      <c r="Z69" s="23" t="s">
        <v>62</v>
      </c>
      <c r="AA69" s="23"/>
      <c r="AB69" s="23" t="s">
        <v>64</v>
      </c>
      <c r="AD69" s="19" t="s">
        <v>590</v>
      </c>
      <c r="AE69" s="1" t="str">
        <f t="shared" si="18"/>
        <v>東京都千代田区神田佐久間4-15-1PREMIUM CUBE 秋葉原1301号</v>
      </c>
      <c r="AF69" s="1" t="s">
        <v>591</v>
      </c>
      <c r="AG69" s="1" t="s">
        <v>507</v>
      </c>
      <c r="AH69" s="1" t="s">
        <v>241</v>
      </c>
      <c r="AI69" s="1" t="str">
        <f t="shared" si="19"/>
        <v> 山形県山形市上町２－９－５</v>
      </c>
      <c r="AJ69" s="1" t="s">
        <v>126</v>
      </c>
      <c r="AK69" s="26" t="s">
        <v>67</v>
      </c>
      <c r="AL69" s="26">
        <v>1</v>
      </c>
      <c r="AM69" s="19" t="str">
        <f ca="1" t="shared" si="20"/>
        <v>JCNZZZ</v>
      </c>
      <c r="AN69" s="1" t="str">
        <f ca="1" t="shared" si="21"/>
        <v>JinDdong</v>
      </c>
      <c r="AU69" s="1" t="s">
        <v>68</v>
      </c>
      <c r="AV69" s="1" t="s">
        <v>592</v>
      </c>
      <c r="AW69" s="1" t="s">
        <v>593</v>
      </c>
      <c r="AX69" s="1" t="s">
        <v>234</v>
      </c>
      <c r="AY69" s="1" t="s">
        <v>235</v>
      </c>
      <c r="AZ69" s="1">
        <v>14</v>
      </c>
      <c r="BA69" s="1" t="s">
        <v>246</v>
      </c>
      <c r="BB69" s="1"/>
      <c r="BC69" s="1"/>
      <c r="BD69" s="1"/>
    </row>
    <row r="70" ht="33" customHeight="1" spans="1:56">
      <c r="A70" s="13" t="s">
        <v>53</v>
      </c>
      <c r="B70" s="14"/>
      <c r="C70" s="15" t="s">
        <v>594</v>
      </c>
      <c r="D70" s="15" t="s">
        <v>594</v>
      </c>
      <c r="E70" s="1">
        <v>1</v>
      </c>
      <c r="F70" s="3">
        <v>0.44</v>
      </c>
      <c r="G70" s="1" t="s">
        <v>55</v>
      </c>
      <c r="H70" s="16" t="str">
        <f t="shared" si="11"/>
        <v>LAMP</v>
      </c>
      <c r="I70" s="16" t="str">
        <f t="shared" si="12"/>
        <v>STAINLESS STEEL</v>
      </c>
      <c r="J70" s="16" t="s">
        <v>595</v>
      </c>
      <c r="K70" s="17" t="str">
        <f t="shared" si="13"/>
        <v>安居 彰子</v>
      </c>
      <c r="L70" s="17"/>
      <c r="M70" s="18" t="str">
        <f t="shared" si="14"/>
        <v>東京都大田区田園調布5-50-6</v>
      </c>
      <c r="N70" s="19" t="str">
        <f t="shared" si="15"/>
        <v>東京都大田区田園調布5-50-6</v>
      </c>
      <c r="O70" s="20" t="str">
        <f>MID(N70,MIN(IFERROR(FIND({0,1,2,3,4,5,6,7,8,9},N70),LEN(N70)+1)),LEN(N70))</f>
        <v>5-50-6</v>
      </c>
      <c r="P70" s="20" t="str">
        <f t="shared" si="16"/>
        <v> 5-50-6</v>
      </c>
      <c r="Q70" s="19" t="s">
        <v>596</v>
      </c>
      <c r="R70" s="21" t="s">
        <v>597</v>
      </c>
      <c r="S70" s="22" t="s">
        <v>59</v>
      </c>
      <c r="T70" s="22" t="s">
        <v>60</v>
      </c>
      <c r="U70" s="23" t="s">
        <v>61</v>
      </c>
      <c r="V70" s="23" t="s">
        <v>62</v>
      </c>
      <c r="W70" s="24"/>
      <c r="X70" s="25">
        <f t="shared" si="17"/>
        <v>17</v>
      </c>
      <c r="Y70" s="23" t="s">
        <v>63</v>
      </c>
      <c r="Z70" s="23" t="s">
        <v>62</v>
      </c>
      <c r="AA70" s="23"/>
      <c r="AB70" s="23" t="s">
        <v>64</v>
      </c>
      <c r="AD70" s="19" t="s">
        <v>595</v>
      </c>
      <c r="AE70" s="1" t="str">
        <f t="shared" si="18"/>
        <v>東京都大田区田園調布5-50-6</v>
      </c>
      <c r="AF70" s="1" t="s">
        <v>597</v>
      </c>
      <c r="AG70" s="1" t="s">
        <v>596</v>
      </c>
      <c r="AH70" s="1" t="s">
        <v>113</v>
      </c>
      <c r="AI70" s="1" t="str">
        <f t="shared" si="19"/>
        <v> 東京都大田区上池台３－２４－１４スターハイツ洗足池２　２０２</v>
      </c>
      <c r="AJ70" s="1" t="s">
        <v>114</v>
      </c>
      <c r="AK70" s="26" t="s">
        <v>67</v>
      </c>
      <c r="AL70" s="26">
        <v>1</v>
      </c>
      <c r="AM70" s="19" t="str">
        <f ca="1" t="shared" si="20"/>
        <v>PJP001</v>
      </c>
      <c r="AN70" s="1" t="str">
        <f ca="1" t="shared" si="21"/>
        <v/>
      </c>
      <c r="AU70" s="1" t="s">
        <v>68</v>
      </c>
      <c r="AV70" s="1" t="s">
        <v>598</v>
      </c>
      <c r="AW70" s="1" t="s">
        <v>599</v>
      </c>
      <c r="AX70" s="1" t="s">
        <v>170</v>
      </c>
      <c r="AY70" s="1" t="s">
        <v>225</v>
      </c>
      <c r="AZ70" s="1">
        <v>17</v>
      </c>
      <c r="BA70" s="1" t="s">
        <v>120</v>
      </c>
      <c r="BB70" s="1"/>
      <c r="BC70" s="1"/>
      <c r="BD70" s="1"/>
    </row>
    <row r="71" ht="33" customHeight="1" spans="1:56">
      <c r="A71" s="13" t="s">
        <v>53</v>
      </c>
      <c r="B71" s="14"/>
      <c r="C71" s="15" t="s">
        <v>600</v>
      </c>
      <c r="D71" s="15" t="s">
        <v>600</v>
      </c>
      <c r="E71" s="1">
        <v>1</v>
      </c>
      <c r="F71" s="3">
        <v>1.24</v>
      </c>
      <c r="G71" s="1" t="s">
        <v>55</v>
      </c>
      <c r="H71" s="16" t="str">
        <f t="shared" si="11"/>
        <v>MAKEUP MIRROR</v>
      </c>
      <c r="I71" s="16" t="str">
        <f t="shared" si="12"/>
        <v>GLASS</v>
      </c>
      <c r="J71" s="16" t="s">
        <v>601</v>
      </c>
      <c r="K71" s="17" t="str">
        <f t="shared" si="13"/>
        <v>隈井 慶 [クマイ ケイ]</v>
      </c>
      <c r="L71" s="17"/>
      <c r="M71" s="18" t="str">
        <f t="shared" si="14"/>
        <v>神奈川県藤沢市湘南台1-21-18-301</v>
      </c>
      <c r="N71" s="19" t="str">
        <f t="shared" si="15"/>
        <v>神奈川県藤沢市湘南台1-21-18-301</v>
      </c>
      <c r="O71" s="20" t="str">
        <f>MID(N71,MIN(IFERROR(FIND({0,1,2,3,4,5,6,7,8,9},N71),LEN(N71)+1)),LEN(N71))</f>
        <v>1-21-18-301</v>
      </c>
      <c r="P71" s="20" t="str">
        <f t="shared" si="16"/>
        <v> 1-21-18-301</v>
      </c>
      <c r="Q71" s="19" t="s">
        <v>602</v>
      </c>
      <c r="R71" s="21" t="s">
        <v>603</v>
      </c>
      <c r="S71" s="22" t="s">
        <v>59</v>
      </c>
      <c r="T71" s="22" t="s">
        <v>60</v>
      </c>
      <c r="U71" s="23" t="s">
        <v>61</v>
      </c>
      <c r="V71" s="23" t="s">
        <v>62</v>
      </c>
      <c r="W71" s="24"/>
      <c r="X71" s="25">
        <f t="shared" si="17"/>
        <v>16</v>
      </c>
      <c r="Y71" s="23" t="s">
        <v>63</v>
      </c>
      <c r="Z71" s="23" t="s">
        <v>62</v>
      </c>
      <c r="AA71" s="23"/>
      <c r="AB71" s="23" t="s">
        <v>64</v>
      </c>
      <c r="AD71" s="19" t="s">
        <v>601</v>
      </c>
      <c r="AE71" s="1" t="str">
        <f t="shared" si="18"/>
        <v>神奈川県藤沢市湘南台1-21-18-301</v>
      </c>
      <c r="AF71" s="1" t="s">
        <v>603</v>
      </c>
      <c r="AG71" s="1" t="s">
        <v>602</v>
      </c>
      <c r="AH71" s="1" t="s">
        <v>462</v>
      </c>
      <c r="AI71" s="1" t="str">
        <f t="shared" si="19"/>
        <v> 内本町2‐3‐8</v>
      </c>
      <c r="AJ71" s="1" t="s">
        <v>385</v>
      </c>
      <c r="AK71" s="26" t="s">
        <v>67</v>
      </c>
      <c r="AL71" s="26">
        <v>1</v>
      </c>
      <c r="AM71" s="19" t="str">
        <f ca="1" t="shared" si="20"/>
        <v>PJP001</v>
      </c>
      <c r="AN71" s="1" t="str">
        <f ca="1" t="shared" si="21"/>
        <v/>
      </c>
      <c r="AU71" s="1" t="s">
        <v>101</v>
      </c>
      <c r="AV71" s="1" t="s">
        <v>604</v>
      </c>
      <c r="AW71" s="1" t="s">
        <v>605</v>
      </c>
      <c r="AX71" s="1" t="s">
        <v>492</v>
      </c>
      <c r="AY71" s="1" t="s">
        <v>493</v>
      </c>
      <c r="AZ71" s="1">
        <v>16.4</v>
      </c>
      <c r="BA71" s="1" t="s">
        <v>389</v>
      </c>
      <c r="BB71" s="1"/>
      <c r="BC71" s="1"/>
      <c r="BD71" s="1"/>
    </row>
    <row r="72" ht="33" customHeight="1" spans="1:56">
      <c r="A72" s="13" t="s">
        <v>53</v>
      </c>
      <c r="B72" s="14"/>
      <c r="C72" s="15" t="s">
        <v>606</v>
      </c>
      <c r="D72" s="15" t="s">
        <v>606</v>
      </c>
      <c r="E72" s="1">
        <v>1</v>
      </c>
      <c r="F72" s="3">
        <v>0.3</v>
      </c>
      <c r="G72" s="1" t="s">
        <v>55</v>
      </c>
      <c r="H72" s="16" t="str">
        <f t="shared" si="11"/>
        <v>ALARM CLOCK</v>
      </c>
      <c r="I72" s="16" t="str">
        <f t="shared" si="12"/>
        <v>METAL</v>
      </c>
      <c r="J72" s="16" t="s">
        <v>607</v>
      </c>
      <c r="K72" s="17" t="str">
        <f t="shared" si="13"/>
        <v>江尻 知穂</v>
      </c>
      <c r="L72" s="17"/>
      <c r="M72" s="18" t="str">
        <f t="shared" si="14"/>
        <v>愛知県名古屋市千種区汁谷町4-1 ヴィークステージ茶屋ヶ坂フォレストテラスF103</v>
      </c>
      <c r="N72" s="19" t="str">
        <f t="shared" si="15"/>
        <v>愛知県名古屋市千種区汁谷町4-1 ヴィークステージ茶屋ヶ坂フォレストテラスF103</v>
      </c>
      <c r="O72" s="20" t="str">
        <f>MID(N72,MIN(IFERROR(FIND({0,1,2,3,4,5,6,7,8,9},N72),LEN(N72)+1)),LEN(N72))</f>
        <v>4-1 ヴィークステージ茶屋ヶ坂フォレストテラスF103</v>
      </c>
      <c r="P72" s="20" t="str">
        <f t="shared" si="16"/>
        <v> 4-1 ヴィークステージ茶屋ヶ坂フォレストテラスF103</v>
      </c>
      <c r="Q72" s="19" t="s">
        <v>608</v>
      </c>
      <c r="R72" s="21" t="s">
        <v>609</v>
      </c>
      <c r="S72" s="22" t="s">
        <v>59</v>
      </c>
      <c r="T72" s="22" t="s">
        <v>60</v>
      </c>
      <c r="U72" s="23" t="s">
        <v>61</v>
      </c>
      <c r="V72" s="23" t="s">
        <v>62</v>
      </c>
      <c r="W72" s="24"/>
      <c r="X72" s="25">
        <f t="shared" si="17"/>
        <v>10</v>
      </c>
      <c r="Y72" s="23" t="s">
        <v>63</v>
      </c>
      <c r="Z72" s="23" t="s">
        <v>62</v>
      </c>
      <c r="AA72" s="23"/>
      <c r="AB72" s="23" t="s">
        <v>64</v>
      </c>
      <c r="AD72" s="19" t="s">
        <v>607</v>
      </c>
      <c r="AE72" s="1" t="str">
        <f t="shared" si="18"/>
        <v>愛知県名古屋市千種区汁谷町4-1 ヴィークステージ茶屋ヶ坂フォレストテラスF103</v>
      </c>
      <c r="AF72" s="1" t="s">
        <v>609</v>
      </c>
      <c r="AG72" s="1" t="s">
        <v>608</v>
      </c>
      <c r="AH72" s="1" t="s">
        <v>146</v>
      </c>
      <c r="AI72" s="1" t="str">
        <f t="shared" si="19"/>
        <v> 神奈川県川崎市高津区下作延２－２２－５クレイノアクアパレス２０５</v>
      </c>
      <c r="AJ72" s="1" t="s">
        <v>147</v>
      </c>
      <c r="AK72" s="26" t="s">
        <v>67</v>
      </c>
      <c r="AL72" s="26">
        <v>1</v>
      </c>
      <c r="AM72" s="19" t="str">
        <f ca="1" t="shared" si="20"/>
        <v>JCNZZZ</v>
      </c>
      <c r="AN72" s="1" t="str">
        <f ca="1" t="shared" si="21"/>
        <v>TAOBAO0</v>
      </c>
      <c r="AU72" s="1" t="s">
        <v>137</v>
      </c>
      <c r="AV72" s="1" t="s">
        <v>610</v>
      </c>
      <c r="AW72" s="1" t="s">
        <v>611</v>
      </c>
      <c r="AX72" s="1" t="s">
        <v>612</v>
      </c>
      <c r="AY72" s="1" t="s">
        <v>161</v>
      </c>
      <c r="AZ72" s="1">
        <v>10</v>
      </c>
      <c r="BA72" s="1" t="s">
        <v>153</v>
      </c>
      <c r="BB72" s="1"/>
      <c r="BC72" s="1"/>
      <c r="BD72" s="1"/>
    </row>
    <row r="73" ht="33" customHeight="1" spans="1:56">
      <c r="A73" s="13" t="s">
        <v>53</v>
      </c>
      <c r="B73" s="14"/>
      <c r="C73" s="15" t="s">
        <v>613</v>
      </c>
      <c r="D73" s="15" t="s">
        <v>613</v>
      </c>
      <c r="E73" s="1">
        <v>1</v>
      </c>
      <c r="F73" s="3">
        <v>0.42</v>
      </c>
      <c r="G73" s="1" t="s">
        <v>55</v>
      </c>
      <c r="H73" s="16" t="str">
        <f t="shared" si="11"/>
        <v>CHILDREN'S EDUCATIONAL TOYS</v>
      </c>
      <c r="I73" s="16" t="str">
        <f t="shared" si="12"/>
        <v>PLASTIC</v>
      </c>
      <c r="J73" s="16" t="s">
        <v>614</v>
      </c>
      <c r="K73" s="17" t="str">
        <f t="shared" si="13"/>
        <v>鎌田 利美</v>
      </c>
      <c r="L73" s="17"/>
      <c r="M73" s="18" t="str">
        <f t="shared" si="14"/>
        <v>千葉県南房総市和田町五十蔵69ー1</v>
      </c>
      <c r="N73" s="19" t="str">
        <f t="shared" si="15"/>
        <v>千葉県南房総市和田町五十蔵69ー1</v>
      </c>
      <c r="O73" s="20" t="str">
        <f>MID(N73,MIN(IFERROR(FIND({0,1,2,3,4,5,6,7,8,9},N73),LEN(N73)+1)),LEN(N73))</f>
        <v>69ー1</v>
      </c>
      <c r="P73" s="20" t="str">
        <f t="shared" si="16"/>
        <v> 69ー1</v>
      </c>
      <c r="Q73" s="19" t="s">
        <v>615</v>
      </c>
      <c r="R73" s="21" t="s">
        <v>616</v>
      </c>
      <c r="S73" s="22" t="s">
        <v>59</v>
      </c>
      <c r="T73" s="22" t="s">
        <v>60</v>
      </c>
      <c r="U73" s="23" t="s">
        <v>61</v>
      </c>
      <c r="V73" s="23" t="s">
        <v>62</v>
      </c>
      <c r="W73" s="24"/>
      <c r="X73" s="25">
        <f t="shared" si="17"/>
        <v>16</v>
      </c>
      <c r="Y73" s="23" t="s">
        <v>63</v>
      </c>
      <c r="Z73" s="23" t="s">
        <v>62</v>
      </c>
      <c r="AA73" s="23"/>
      <c r="AB73" s="23" t="s">
        <v>64</v>
      </c>
      <c r="AD73" s="19" t="s">
        <v>614</v>
      </c>
      <c r="AE73" s="1" t="str">
        <f t="shared" si="18"/>
        <v>千葉県南房総市和田町五十蔵69ー1</v>
      </c>
      <c r="AF73" s="1" t="s">
        <v>616</v>
      </c>
      <c r="AG73" s="1" t="s">
        <v>615</v>
      </c>
      <c r="AH73" s="1" t="s">
        <v>113</v>
      </c>
      <c r="AI73" s="1" t="str">
        <f t="shared" si="19"/>
        <v> 東京都大田区上池台３－２４－１４スターハイツ洗足池２　２０２</v>
      </c>
      <c r="AJ73" s="1" t="s">
        <v>114</v>
      </c>
      <c r="AK73" s="26" t="s">
        <v>67</v>
      </c>
      <c r="AL73" s="26">
        <v>1</v>
      </c>
      <c r="AM73" s="19" t="str">
        <f ca="1" t="shared" si="20"/>
        <v>PJP001</v>
      </c>
      <c r="AN73" s="1" t="str">
        <f ca="1" t="shared" si="21"/>
        <v/>
      </c>
      <c r="AU73" s="1" t="s">
        <v>617</v>
      </c>
      <c r="AV73" s="1" t="s">
        <v>618</v>
      </c>
      <c r="AW73" s="1" t="s">
        <v>619</v>
      </c>
      <c r="AX73" s="1" t="s">
        <v>620</v>
      </c>
      <c r="AY73" s="1" t="s">
        <v>94</v>
      </c>
      <c r="AZ73" s="1">
        <v>16</v>
      </c>
      <c r="BA73" s="1" t="s">
        <v>120</v>
      </c>
      <c r="BB73" s="1"/>
      <c r="BC73" s="1"/>
      <c r="BD73" s="1"/>
    </row>
    <row r="74" ht="33" customHeight="1" spans="1:56">
      <c r="A74" s="13" t="s">
        <v>53</v>
      </c>
      <c r="B74" s="14"/>
      <c r="C74" s="15" t="s">
        <v>621</v>
      </c>
      <c r="D74" s="15" t="s">
        <v>621</v>
      </c>
      <c r="E74" s="1">
        <v>1</v>
      </c>
      <c r="F74" s="3">
        <v>0.34</v>
      </c>
      <c r="G74" s="1" t="s">
        <v>55</v>
      </c>
      <c r="H74" s="16" t="str">
        <f t="shared" si="11"/>
        <v>TOY</v>
      </c>
      <c r="I74" s="16" t="str">
        <f t="shared" si="12"/>
        <v>WOODEN</v>
      </c>
      <c r="J74" s="16" t="s">
        <v>622</v>
      </c>
      <c r="K74" s="17" t="str">
        <f t="shared" si="13"/>
        <v>塩澤 秀幸</v>
      </c>
      <c r="L74" s="17"/>
      <c r="M74" s="18" t="str">
        <f t="shared" si="14"/>
        <v>山梨県甲府市高畑1-17-13</v>
      </c>
      <c r="N74" s="19" t="str">
        <f t="shared" si="15"/>
        <v>山梨県甲府市高畑1-17-13</v>
      </c>
      <c r="O74" s="20" t="str">
        <f>MID(N74,MIN(IFERROR(FIND({0,1,2,3,4,5,6,7,8,9},N74),LEN(N74)+1)),LEN(N74))</f>
        <v>1-17-13</v>
      </c>
      <c r="P74" s="20" t="str">
        <f t="shared" si="16"/>
        <v> 1-17-13</v>
      </c>
      <c r="Q74" s="19" t="s">
        <v>623</v>
      </c>
      <c r="R74" s="21" t="s">
        <v>624</v>
      </c>
      <c r="S74" s="22" t="s">
        <v>59</v>
      </c>
      <c r="T74" s="22" t="s">
        <v>60</v>
      </c>
      <c r="U74" s="23" t="s">
        <v>61</v>
      </c>
      <c r="V74" s="23" t="s">
        <v>62</v>
      </c>
      <c r="W74" s="24"/>
      <c r="X74" s="25">
        <f t="shared" si="17"/>
        <v>12</v>
      </c>
      <c r="Y74" s="23" t="s">
        <v>63</v>
      </c>
      <c r="Z74" s="23" t="s">
        <v>62</v>
      </c>
      <c r="AA74" s="23"/>
      <c r="AB74" s="23" t="s">
        <v>64</v>
      </c>
      <c r="AD74" s="19" t="s">
        <v>622</v>
      </c>
      <c r="AE74" s="1" t="str">
        <f t="shared" si="18"/>
        <v>山梨県甲府市高畑1-17-13</v>
      </c>
      <c r="AF74" s="1" t="s">
        <v>624</v>
      </c>
      <c r="AG74" s="1" t="s">
        <v>623</v>
      </c>
      <c r="AH74" s="1" t="s">
        <v>113</v>
      </c>
      <c r="AI74" s="1" t="str">
        <f t="shared" si="19"/>
        <v> 東京都大田区上池台３－２４－１４スターハイツ洗足池２　２０２</v>
      </c>
      <c r="AJ74" s="1" t="s">
        <v>114</v>
      </c>
      <c r="AK74" s="26" t="s">
        <v>67</v>
      </c>
      <c r="AL74" s="26">
        <v>1</v>
      </c>
      <c r="AM74" s="19" t="str">
        <f ca="1" t="shared" si="20"/>
        <v>PJP001</v>
      </c>
      <c r="AN74" s="1" t="str">
        <f ca="1" t="shared" si="21"/>
        <v/>
      </c>
      <c r="AU74" s="1" t="s">
        <v>625</v>
      </c>
      <c r="AV74" s="1" t="s">
        <v>626</v>
      </c>
      <c r="AW74" s="1" t="s">
        <v>627</v>
      </c>
      <c r="AX74" s="1" t="s">
        <v>319</v>
      </c>
      <c r="AY74" s="1" t="s">
        <v>119</v>
      </c>
      <c r="AZ74" s="1">
        <v>12</v>
      </c>
      <c r="BA74" s="1" t="s">
        <v>120</v>
      </c>
      <c r="BB74" s="1"/>
      <c r="BC74" s="1"/>
      <c r="BD74" s="1"/>
    </row>
    <row r="75" ht="33" customHeight="1" spans="1:56">
      <c r="A75" s="13" t="s">
        <v>53</v>
      </c>
      <c r="B75" s="14"/>
      <c r="C75" s="15" t="s">
        <v>628</v>
      </c>
      <c r="D75" s="15" t="s">
        <v>628</v>
      </c>
      <c r="E75" s="1">
        <v>1</v>
      </c>
      <c r="F75" s="3">
        <v>2.33</v>
      </c>
      <c r="G75" s="1" t="s">
        <v>55</v>
      </c>
      <c r="H75" s="16" t="str">
        <f t="shared" si="11"/>
        <v>SKATING SHOES</v>
      </c>
      <c r="I75" s="16" t="str">
        <f t="shared" si="12"/>
        <v>PU</v>
      </c>
      <c r="J75" s="16" t="s">
        <v>629</v>
      </c>
      <c r="K75" s="17" t="str">
        <f t="shared" si="13"/>
        <v>池田 美月 [イケダ ミヅキ]</v>
      </c>
      <c r="L75" s="17"/>
      <c r="M75" s="18" t="str">
        <f t="shared" si="14"/>
        <v>北海道恵庭市島松旭町2丁目5番20号</v>
      </c>
      <c r="N75" s="19" t="str">
        <f t="shared" si="15"/>
        <v>北海道恵庭市島松旭町2丁目5番20号</v>
      </c>
      <c r="O75" s="20" t="str">
        <f>MID(N75,MIN(IFERROR(FIND({0,1,2,3,4,5,6,7,8,9},N75),LEN(N75)+1)),LEN(N75))</f>
        <v>2丁目5番20号</v>
      </c>
      <c r="P75" s="20" t="str">
        <f t="shared" si="16"/>
        <v> 2丁目5番20号</v>
      </c>
      <c r="Q75" s="19" t="s">
        <v>630</v>
      </c>
      <c r="R75" s="21" t="s">
        <v>631</v>
      </c>
      <c r="S75" s="22" t="s">
        <v>59</v>
      </c>
      <c r="T75" s="22" t="s">
        <v>60</v>
      </c>
      <c r="U75" s="23" t="s">
        <v>61</v>
      </c>
      <c r="V75" s="23" t="s">
        <v>62</v>
      </c>
      <c r="W75" s="24"/>
      <c r="X75" s="25">
        <f t="shared" si="17"/>
        <v>19</v>
      </c>
      <c r="Y75" s="23" t="s">
        <v>63</v>
      </c>
      <c r="Z75" s="23" t="s">
        <v>62</v>
      </c>
      <c r="AA75" s="23"/>
      <c r="AB75" s="23" t="s">
        <v>64</v>
      </c>
      <c r="AD75" s="19" t="s">
        <v>629</v>
      </c>
      <c r="AE75" s="1" t="str">
        <f t="shared" si="18"/>
        <v>北海道恵庭市島松旭町2丁目5番20号</v>
      </c>
      <c r="AF75" s="1" t="s">
        <v>631</v>
      </c>
      <c r="AG75" s="1" t="s">
        <v>630</v>
      </c>
      <c r="AH75" s="1" t="s">
        <v>632</v>
      </c>
      <c r="AI75" s="1" t="str">
        <f t="shared" si="19"/>
        <v> 中区大手町1-1-26-305大手町一番ビル</v>
      </c>
      <c r="AJ75" s="1" t="s">
        <v>633</v>
      </c>
      <c r="AK75" s="26" t="s">
        <v>67</v>
      </c>
      <c r="AL75" s="26">
        <v>1</v>
      </c>
      <c r="AM75" s="19" t="str">
        <f ca="1" t="shared" si="20"/>
        <v>PJP001</v>
      </c>
      <c r="AN75" s="1" t="str">
        <f ca="1" t="shared" si="21"/>
        <v/>
      </c>
      <c r="AU75" s="1" t="s">
        <v>115</v>
      </c>
      <c r="AV75" s="1" t="s">
        <v>352</v>
      </c>
      <c r="AW75" s="1" t="s">
        <v>634</v>
      </c>
      <c r="AX75" s="1" t="s">
        <v>635</v>
      </c>
      <c r="AY75" s="1" t="s">
        <v>365</v>
      </c>
      <c r="AZ75" s="1">
        <v>19.5</v>
      </c>
      <c r="BA75" s="1" t="s">
        <v>636</v>
      </c>
      <c r="BB75" s="1"/>
      <c r="BC75" s="1"/>
      <c r="BD75" s="1"/>
    </row>
    <row r="76" ht="33" customHeight="1" spans="1:56">
      <c r="A76" s="13" t="s">
        <v>53</v>
      </c>
      <c r="B76" s="14"/>
      <c r="C76" s="15" t="s">
        <v>637</v>
      </c>
      <c r="D76" s="15" t="s">
        <v>637</v>
      </c>
      <c r="E76" s="1">
        <v>1</v>
      </c>
      <c r="F76" s="3">
        <v>2.31</v>
      </c>
      <c r="G76" s="1" t="s">
        <v>55</v>
      </c>
      <c r="H76" s="16" t="str">
        <f t="shared" si="11"/>
        <v>OPTICAL LEVEL</v>
      </c>
      <c r="I76" s="16" t="str">
        <f t="shared" si="12"/>
        <v>PLASTIC</v>
      </c>
      <c r="J76" s="16" t="s">
        <v>638</v>
      </c>
      <c r="K76" s="17" t="str">
        <f t="shared" si="13"/>
        <v>西村サカエ</v>
      </c>
      <c r="L76" s="17"/>
      <c r="M76" s="18" t="str">
        <f t="shared" si="14"/>
        <v>甲賀市甲南町塩野 306 滋賀県</v>
      </c>
      <c r="N76" s="19" t="str">
        <f t="shared" si="15"/>
        <v>甲賀市甲南町塩野 306 滋賀県</v>
      </c>
      <c r="O76" s="20" t="str">
        <f>MID(N76,MIN(IFERROR(FIND({0,1,2,3,4,5,6,7,8,9},N76),LEN(N76)+1)),LEN(N76))</f>
        <v>306 滋賀県</v>
      </c>
      <c r="P76" s="20" t="str">
        <f t="shared" si="16"/>
        <v> 306 滋賀県</v>
      </c>
      <c r="Q76" s="19" t="s">
        <v>639</v>
      </c>
      <c r="R76" s="21" t="s">
        <v>640</v>
      </c>
      <c r="S76" s="22" t="s">
        <v>59</v>
      </c>
      <c r="T76" s="22" t="s">
        <v>60</v>
      </c>
      <c r="U76" s="23" t="s">
        <v>61</v>
      </c>
      <c r="V76" s="23" t="s">
        <v>62</v>
      </c>
      <c r="W76" s="24"/>
      <c r="X76" s="25">
        <f t="shared" si="17"/>
        <v>35</v>
      </c>
      <c r="Y76" s="23" t="s">
        <v>63</v>
      </c>
      <c r="Z76" s="23" t="s">
        <v>62</v>
      </c>
      <c r="AA76" s="23"/>
      <c r="AB76" s="23" t="s">
        <v>64</v>
      </c>
      <c r="AD76" s="19" t="s">
        <v>638</v>
      </c>
      <c r="AE76" s="1" t="str">
        <f t="shared" si="18"/>
        <v>甲賀市甲南町塩野 306 滋賀県</v>
      </c>
      <c r="AF76" s="1" t="s">
        <v>640</v>
      </c>
      <c r="AG76" s="1" t="s">
        <v>639</v>
      </c>
      <c r="AH76" s="1"/>
      <c r="AI76" s="1" t="str">
        <f t="shared" si="19"/>
        <v> </v>
      </c>
      <c r="AJ76" s="1" t="s">
        <v>91</v>
      </c>
      <c r="AK76" s="26" t="s">
        <v>67</v>
      </c>
      <c r="AL76" s="26">
        <v>1</v>
      </c>
      <c r="AM76" s="19" t="str">
        <f ca="1" t="shared" si="20"/>
        <v>JCNZZZ</v>
      </c>
      <c r="AN76" s="1" t="str">
        <f ca="1" t="shared" si="21"/>
        <v>JinDdong</v>
      </c>
      <c r="AU76" s="1"/>
      <c r="AV76" s="1"/>
      <c r="AW76" s="1" t="s">
        <v>641</v>
      </c>
      <c r="AX76" s="1" t="s">
        <v>642</v>
      </c>
      <c r="AY76" s="1" t="s">
        <v>94</v>
      </c>
      <c r="AZ76" s="1">
        <v>35</v>
      </c>
      <c r="BA76" s="1" t="s">
        <v>91</v>
      </c>
      <c r="BB76" s="1"/>
      <c r="BC76" s="1"/>
      <c r="BD76" s="1"/>
    </row>
    <row r="77" ht="33" customHeight="1" spans="1:56">
      <c r="A77" s="13" t="s">
        <v>53</v>
      </c>
      <c r="B77" s="14"/>
      <c r="C77" s="15" t="s">
        <v>643</v>
      </c>
      <c r="D77" s="15" t="s">
        <v>643</v>
      </c>
      <c r="E77" s="1">
        <v>1</v>
      </c>
      <c r="F77" s="3">
        <v>2.31</v>
      </c>
      <c r="G77" s="1" t="s">
        <v>55</v>
      </c>
      <c r="H77" s="16" t="str">
        <f t="shared" si="11"/>
        <v>OPTICAL LEVEL</v>
      </c>
      <c r="I77" s="16" t="str">
        <f t="shared" si="12"/>
        <v>PLASTIC</v>
      </c>
      <c r="J77" s="16" t="s">
        <v>644</v>
      </c>
      <c r="K77" s="17" t="str">
        <f t="shared" si="13"/>
        <v>中尾　広志</v>
      </c>
      <c r="L77" s="17"/>
      <c r="M77" s="18" t="str">
        <f t="shared" si="14"/>
        <v>東彼杵郡東彼杵町里郷1178-2 長崎県</v>
      </c>
      <c r="N77" s="19" t="str">
        <f t="shared" si="15"/>
        <v>東彼杵郡東彼杵町里郷1178-2 長崎県</v>
      </c>
      <c r="O77" s="20" t="str">
        <f>MID(N77,MIN(IFERROR(FIND({0,1,2,3,4,5,6,7,8,9},N77),LEN(N77)+1)),LEN(N77))</f>
        <v>1178-2 長崎県</v>
      </c>
      <c r="P77" s="20" t="str">
        <f t="shared" si="16"/>
        <v> 1178-2 長崎県</v>
      </c>
      <c r="Q77" s="19" t="s">
        <v>645</v>
      </c>
      <c r="R77" s="21" t="s">
        <v>646</v>
      </c>
      <c r="S77" s="22" t="s">
        <v>59</v>
      </c>
      <c r="T77" s="22" t="s">
        <v>60</v>
      </c>
      <c r="U77" s="23" t="s">
        <v>61</v>
      </c>
      <c r="V77" s="23" t="s">
        <v>62</v>
      </c>
      <c r="W77" s="24"/>
      <c r="X77" s="25">
        <f t="shared" si="17"/>
        <v>35</v>
      </c>
      <c r="Y77" s="23" t="s">
        <v>63</v>
      </c>
      <c r="Z77" s="23" t="s">
        <v>62</v>
      </c>
      <c r="AA77" s="23"/>
      <c r="AB77" s="23" t="s">
        <v>64</v>
      </c>
      <c r="AD77" s="19" t="s">
        <v>644</v>
      </c>
      <c r="AE77" s="1" t="str">
        <f t="shared" si="18"/>
        <v>東彼杵郡東彼杵町里郷1178-2 長崎県</v>
      </c>
      <c r="AF77" s="1" t="s">
        <v>646</v>
      </c>
      <c r="AG77" s="1" t="s">
        <v>645</v>
      </c>
      <c r="AH77" s="1"/>
      <c r="AI77" s="1" t="str">
        <f t="shared" si="19"/>
        <v> </v>
      </c>
      <c r="AJ77" s="1" t="s">
        <v>91</v>
      </c>
      <c r="AK77" s="26" t="s">
        <v>67</v>
      </c>
      <c r="AL77" s="26">
        <v>1</v>
      </c>
      <c r="AM77" s="19" t="str">
        <f ca="1" t="shared" si="20"/>
        <v>JCNZZZ</v>
      </c>
      <c r="AN77" s="1" t="str">
        <f ca="1" t="shared" si="21"/>
        <v>JinDdong</v>
      </c>
      <c r="AU77" s="1"/>
      <c r="AV77" s="1"/>
      <c r="AW77" s="1" t="s">
        <v>647</v>
      </c>
      <c r="AX77" s="1" t="s">
        <v>642</v>
      </c>
      <c r="AY77" s="1" t="s">
        <v>94</v>
      </c>
      <c r="AZ77" s="1">
        <v>35</v>
      </c>
      <c r="BA77" s="1" t="s">
        <v>91</v>
      </c>
      <c r="BB77" s="1"/>
      <c r="BC77" s="1"/>
      <c r="BD77" s="1"/>
    </row>
    <row r="78" ht="33" customHeight="1" spans="1:56">
      <c r="A78" s="13" t="s">
        <v>53</v>
      </c>
      <c r="B78" s="14"/>
      <c r="C78" s="15" t="s">
        <v>648</v>
      </c>
      <c r="D78" s="15" t="s">
        <v>648</v>
      </c>
      <c r="E78" s="1">
        <v>1</v>
      </c>
      <c r="F78" s="3">
        <v>3.94</v>
      </c>
      <c r="G78" s="1" t="s">
        <v>55</v>
      </c>
      <c r="H78" s="16" t="str">
        <f t="shared" si="11"/>
        <v>PLASTIC TOYS</v>
      </c>
      <c r="I78" s="16" t="str">
        <f t="shared" si="12"/>
        <v>ABS</v>
      </c>
      <c r="J78" s="16" t="s">
        <v>649</v>
      </c>
      <c r="K78" s="17" t="str">
        <f t="shared" si="13"/>
        <v>五井</v>
      </c>
      <c r="L78" s="17"/>
      <c r="M78" s="18" t="str">
        <f t="shared" si="14"/>
        <v>埼玉県戸田市新曽802-2 エクリューズ 204</v>
      </c>
      <c r="N78" s="19" t="str">
        <f t="shared" si="15"/>
        <v>埼玉県戸田市新曽802-2 エクリューズ 204</v>
      </c>
      <c r="O78" s="20" t="str">
        <f>MID(N78,MIN(IFERROR(FIND({0,1,2,3,4,5,6,7,8,9},N78),LEN(N78)+1)),LEN(N78))</f>
        <v>802-2 エクリューズ 204</v>
      </c>
      <c r="P78" s="20" t="str">
        <f t="shared" si="16"/>
        <v> 802-2 エクリューズ 204</v>
      </c>
      <c r="Q78" s="19" t="s">
        <v>650</v>
      </c>
      <c r="R78" s="21" t="s">
        <v>651</v>
      </c>
      <c r="S78" s="22" t="s">
        <v>59</v>
      </c>
      <c r="T78" s="22" t="s">
        <v>60</v>
      </c>
      <c r="U78" s="23" t="s">
        <v>61</v>
      </c>
      <c r="V78" s="23" t="s">
        <v>62</v>
      </c>
      <c r="W78" s="24"/>
      <c r="X78" s="25">
        <f t="shared" si="17"/>
        <v>12</v>
      </c>
      <c r="Y78" s="23" t="s">
        <v>63</v>
      </c>
      <c r="Z78" s="23" t="s">
        <v>62</v>
      </c>
      <c r="AA78" s="23"/>
      <c r="AB78" s="23" t="s">
        <v>64</v>
      </c>
      <c r="AD78" s="19" t="s">
        <v>649</v>
      </c>
      <c r="AE78" s="1" t="str">
        <f t="shared" si="18"/>
        <v>埼玉県戸田市新曽802-2 エクリューズ 204</v>
      </c>
      <c r="AF78" s="1" t="s">
        <v>651</v>
      </c>
      <c r="AG78" s="1" t="s">
        <v>650</v>
      </c>
      <c r="AH78" s="1"/>
      <c r="AI78" s="1" t="str">
        <f t="shared" si="19"/>
        <v> </v>
      </c>
      <c r="AJ78" s="1" t="s">
        <v>91</v>
      </c>
      <c r="AK78" s="26" t="s">
        <v>67</v>
      </c>
      <c r="AL78" s="26">
        <v>1</v>
      </c>
      <c r="AM78" s="19" t="str">
        <f ca="1" t="shared" si="20"/>
        <v>JCNZZZ</v>
      </c>
      <c r="AN78" s="1" t="str">
        <f ca="1" t="shared" si="21"/>
        <v>PingDduoDduo</v>
      </c>
      <c r="AU78" s="1"/>
      <c r="AV78" s="1"/>
      <c r="AW78" s="1" t="s">
        <v>652</v>
      </c>
      <c r="AX78" s="1" t="s">
        <v>310</v>
      </c>
      <c r="AY78" s="1" t="s">
        <v>72</v>
      </c>
      <c r="AZ78" s="1">
        <v>12.8</v>
      </c>
      <c r="BA78" s="1" t="s">
        <v>91</v>
      </c>
      <c r="BB78" s="1"/>
      <c r="BC78" s="1"/>
      <c r="BD78" s="1"/>
    </row>
    <row r="79" ht="33" customHeight="1" spans="1:56">
      <c r="A79" s="13" t="s">
        <v>53</v>
      </c>
      <c r="B79" s="14"/>
      <c r="C79" s="15" t="s">
        <v>653</v>
      </c>
      <c r="D79" s="15" t="s">
        <v>653</v>
      </c>
      <c r="E79" s="1">
        <v>1</v>
      </c>
      <c r="F79" s="3">
        <v>0.92</v>
      </c>
      <c r="G79" s="1" t="s">
        <v>55</v>
      </c>
      <c r="H79" s="16" t="str">
        <f t="shared" si="11"/>
        <v>TOY</v>
      </c>
      <c r="I79" s="16" t="str">
        <f t="shared" si="12"/>
        <v>PLASTIC</v>
      </c>
      <c r="J79" s="16" t="s">
        <v>654</v>
      </c>
      <c r="K79" s="17" t="str">
        <f t="shared" si="13"/>
        <v>宮丘 輝一郎</v>
      </c>
      <c r="L79" s="17"/>
      <c r="M79" s="18" t="str">
        <f t="shared" si="14"/>
        <v>宮崎県宮崎市月見ケ丘4-21-23</v>
      </c>
      <c r="N79" s="19" t="str">
        <f t="shared" si="15"/>
        <v>宮崎県宮崎市月見ケ丘4-21-23</v>
      </c>
      <c r="O79" s="20" t="str">
        <f>MID(N79,MIN(IFERROR(FIND({0,1,2,3,4,5,6,7,8,9},N79),LEN(N79)+1)),LEN(N79))</f>
        <v>4-21-23</v>
      </c>
      <c r="P79" s="20" t="str">
        <f t="shared" si="16"/>
        <v> 4-21-23</v>
      </c>
      <c r="Q79" s="19" t="s">
        <v>655</v>
      </c>
      <c r="R79" s="21" t="s">
        <v>656</v>
      </c>
      <c r="S79" s="22" t="s">
        <v>59</v>
      </c>
      <c r="T79" s="22" t="s">
        <v>60</v>
      </c>
      <c r="U79" s="23" t="s">
        <v>61</v>
      </c>
      <c r="V79" s="23" t="s">
        <v>62</v>
      </c>
      <c r="W79" s="24"/>
      <c r="X79" s="25">
        <f t="shared" si="17"/>
        <v>36</v>
      </c>
      <c r="Y79" s="23" t="s">
        <v>63</v>
      </c>
      <c r="Z79" s="23" t="s">
        <v>62</v>
      </c>
      <c r="AA79" s="23"/>
      <c r="AB79" s="23" t="s">
        <v>64</v>
      </c>
      <c r="AD79" s="19" t="s">
        <v>654</v>
      </c>
      <c r="AE79" s="1" t="str">
        <f t="shared" si="18"/>
        <v>宮崎県宮崎市月見ケ丘4-21-23</v>
      </c>
      <c r="AF79" s="1" t="s">
        <v>656</v>
      </c>
      <c r="AG79" s="1" t="s">
        <v>655</v>
      </c>
      <c r="AH79" s="1" t="s">
        <v>86</v>
      </c>
      <c r="AI79" s="1" t="str">
        <f t="shared" si="19"/>
        <v>大阪府堺市 中百舌鳥町6丁目１００１-5盲亀浮木の店</v>
      </c>
      <c r="AJ79" s="1" t="s">
        <v>200</v>
      </c>
      <c r="AK79" s="26" t="s">
        <v>67</v>
      </c>
      <c r="AL79" s="26">
        <v>1</v>
      </c>
      <c r="AM79" s="19" t="str">
        <f ca="1" t="shared" si="20"/>
        <v>JCNZZZ</v>
      </c>
      <c r="AN79" s="1" t="str">
        <f ca="1" t="shared" si="21"/>
        <v>TAOBAO0</v>
      </c>
      <c r="AU79" s="1" t="s">
        <v>657</v>
      </c>
      <c r="AV79" s="1" t="s">
        <v>658</v>
      </c>
      <c r="AW79" s="1" t="s">
        <v>659</v>
      </c>
      <c r="AX79" s="1" t="s">
        <v>473</v>
      </c>
      <c r="AY79" s="1" t="s">
        <v>94</v>
      </c>
      <c r="AZ79" s="1">
        <v>36.37</v>
      </c>
      <c r="BA79" s="1" t="s">
        <v>205</v>
      </c>
      <c r="BB79" s="1" t="s">
        <v>206</v>
      </c>
      <c r="BC79" s="1" t="s">
        <v>207</v>
      </c>
      <c r="BD79" s="1" t="s">
        <v>86</v>
      </c>
    </row>
    <row r="80" ht="33" customHeight="1" spans="1:56">
      <c r="A80" s="13" t="s">
        <v>53</v>
      </c>
      <c r="B80" s="14"/>
      <c r="C80" s="15" t="s">
        <v>660</v>
      </c>
      <c r="D80" s="15" t="s">
        <v>660</v>
      </c>
      <c r="E80" s="1">
        <v>1</v>
      </c>
      <c r="F80" s="3">
        <v>1.46</v>
      </c>
      <c r="G80" s="1" t="s">
        <v>55</v>
      </c>
      <c r="H80" s="16" t="str">
        <f t="shared" si="11"/>
        <v>SOLAR OUTDOOR LAMP,SOLAR LIGHT</v>
      </c>
      <c r="I80" s="16" t="str">
        <f t="shared" si="12"/>
        <v>ABS</v>
      </c>
      <c r="J80" s="16" t="s">
        <v>661</v>
      </c>
      <c r="K80" s="17" t="str">
        <f t="shared" si="13"/>
        <v>西日本保険サービス 堀</v>
      </c>
      <c r="L80" s="17"/>
      <c r="M80" s="18" t="str">
        <f t="shared" si="14"/>
        <v>兵庫県神戸市東灘区鴨子ヶ原3丁目7番25ー2号</v>
      </c>
      <c r="N80" s="19" t="str">
        <f t="shared" si="15"/>
        <v>兵庫県神戸市東灘区鴨子ヶ原3丁目7番25ー2号</v>
      </c>
      <c r="O80" s="20" t="str">
        <f>MID(N80,MIN(IFERROR(FIND({0,1,2,3,4,5,6,7,8,9},N80),LEN(N80)+1)),LEN(N80))</f>
        <v>3丁目7番25ー2号</v>
      </c>
      <c r="P80" s="20" t="str">
        <f t="shared" si="16"/>
        <v> 3丁目7番25ー2号</v>
      </c>
      <c r="Q80" s="19" t="s">
        <v>662</v>
      </c>
      <c r="R80" s="21" t="s">
        <v>663</v>
      </c>
      <c r="S80" s="22" t="s">
        <v>59</v>
      </c>
      <c r="T80" s="22" t="s">
        <v>60</v>
      </c>
      <c r="U80" s="23" t="s">
        <v>61</v>
      </c>
      <c r="V80" s="23" t="s">
        <v>62</v>
      </c>
      <c r="W80" s="24"/>
      <c r="X80" s="25">
        <f t="shared" si="17"/>
        <v>17</v>
      </c>
      <c r="Y80" s="23" t="s">
        <v>63</v>
      </c>
      <c r="Z80" s="23" t="s">
        <v>62</v>
      </c>
      <c r="AA80" s="23"/>
      <c r="AB80" s="23" t="s">
        <v>64</v>
      </c>
      <c r="AD80" s="19" t="s">
        <v>661</v>
      </c>
      <c r="AE80" s="1" t="str">
        <f t="shared" si="18"/>
        <v>兵庫県神戸市東灘区鴨子ヶ原3丁目7番25ー2号</v>
      </c>
      <c r="AF80" s="1" t="s">
        <v>663</v>
      </c>
      <c r="AG80" s="1" t="s">
        <v>662</v>
      </c>
      <c r="AH80" s="1" t="s">
        <v>113</v>
      </c>
      <c r="AI80" s="1" t="str">
        <f t="shared" si="19"/>
        <v> 東京都大田区上池台３－２４－１４スターハイツ洗足池２　２０２</v>
      </c>
      <c r="AJ80" s="1" t="s">
        <v>114</v>
      </c>
      <c r="AK80" s="26" t="s">
        <v>67</v>
      </c>
      <c r="AL80" s="26">
        <v>1</v>
      </c>
      <c r="AM80" s="19" t="str">
        <f ca="1" t="shared" si="20"/>
        <v>PJP001</v>
      </c>
      <c r="AN80" s="1" t="str">
        <f ca="1" t="shared" si="21"/>
        <v/>
      </c>
      <c r="AU80" s="1" t="s">
        <v>664</v>
      </c>
      <c r="AV80" s="1" t="s">
        <v>665</v>
      </c>
      <c r="AW80" s="1" t="s">
        <v>666</v>
      </c>
      <c r="AX80" s="1" t="s">
        <v>667</v>
      </c>
      <c r="AY80" s="1" t="s">
        <v>72</v>
      </c>
      <c r="AZ80" s="1">
        <v>17</v>
      </c>
      <c r="BA80" s="1" t="s">
        <v>120</v>
      </c>
      <c r="BB80" s="1"/>
      <c r="BC80" s="1"/>
      <c r="BD80" s="1"/>
    </row>
    <row r="81" ht="33" customHeight="1" spans="1:56">
      <c r="A81" s="13" t="s">
        <v>53</v>
      </c>
      <c r="B81" s="14"/>
      <c r="C81" s="15" t="s">
        <v>668</v>
      </c>
      <c r="D81" s="15" t="s">
        <v>668</v>
      </c>
      <c r="E81" s="1">
        <v>1</v>
      </c>
      <c r="F81" s="3">
        <v>0.68</v>
      </c>
      <c r="G81" s="1" t="s">
        <v>55</v>
      </c>
      <c r="H81" s="16" t="str">
        <f t="shared" si="11"/>
        <v>HUMIDIFIER</v>
      </c>
      <c r="I81" s="16" t="str">
        <f t="shared" si="12"/>
        <v>ABS</v>
      </c>
      <c r="J81" s="16" t="s">
        <v>669</v>
      </c>
      <c r="K81" s="17" t="str">
        <f t="shared" si="13"/>
        <v>津田朋美</v>
      </c>
      <c r="L81" s="17"/>
      <c r="M81" s="18" t="str">
        <f t="shared" si="14"/>
        <v>大阪府東大阪市上小阪2-8-12</v>
      </c>
      <c r="N81" s="19" t="str">
        <f t="shared" si="15"/>
        <v>大阪府東大阪市上小阪2-8-12</v>
      </c>
      <c r="O81" s="20" t="str">
        <f>MID(N81,MIN(IFERROR(FIND({0,1,2,3,4,5,6,7,8,9},N81),LEN(N81)+1)),LEN(N81))</f>
        <v>2-8-12</v>
      </c>
      <c r="P81" s="20" t="str">
        <f t="shared" si="16"/>
        <v> 2-8-12</v>
      </c>
      <c r="Q81" s="19" t="s">
        <v>670</v>
      </c>
      <c r="R81" s="21" t="s">
        <v>671</v>
      </c>
      <c r="S81" s="22" t="s">
        <v>59</v>
      </c>
      <c r="T81" s="22" t="s">
        <v>60</v>
      </c>
      <c r="U81" s="23" t="s">
        <v>61</v>
      </c>
      <c r="V81" s="23" t="s">
        <v>62</v>
      </c>
      <c r="W81" s="24"/>
      <c r="X81" s="25">
        <f t="shared" si="17"/>
        <v>10</v>
      </c>
      <c r="Y81" s="23" t="s">
        <v>63</v>
      </c>
      <c r="Z81" s="23" t="s">
        <v>62</v>
      </c>
      <c r="AA81" s="23"/>
      <c r="AB81" s="23" t="s">
        <v>64</v>
      </c>
      <c r="AD81" s="19" t="s">
        <v>669</v>
      </c>
      <c r="AE81" s="1" t="str">
        <f t="shared" si="18"/>
        <v>大阪府東大阪市上小阪2-8-12</v>
      </c>
      <c r="AF81" s="1" t="s">
        <v>671</v>
      </c>
      <c r="AG81" s="1" t="s">
        <v>670</v>
      </c>
      <c r="AH81" s="1"/>
      <c r="AI81" s="1" t="str">
        <f t="shared" si="19"/>
        <v> </v>
      </c>
      <c r="AJ81" s="1" t="s">
        <v>91</v>
      </c>
      <c r="AK81" s="26" t="s">
        <v>67</v>
      </c>
      <c r="AL81" s="26">
        <v>1</v>
      </c>
      <c r="AM81" s="19" t="str">
        <f ca="1" t="shared" si="20"/>
        <v>JCNZZZ</v>
      </c>
      <c r="AN81" s="1" t="str">
        <f ca="1" t="shared" si="21"/>
        <v>PingDduoDduo</v>
      </c>
      <c r="AU81" s="1"/>
      <c r="AV81" s="1"/>
      <c r="AW81" s="1" t="s">
        <v>672</v>
      </c>
      <c r="AX81" s="1" t="s">
        <v>408</v>
      </c>
      <c r="AY81" s="1" t="s">
        <v>72</v>
      </c>
      <c r="AZ81" s="1">
        <v>10</v>
      </c>
      <c r="BA81" s="1" t="s">
        <v>91</v>
      </c>
      <c r="BB81" s="1"/>
      <c r="BC81" s="1"/>
      <c r="BD81" s="1"/>
    </row>
    <row r="82" ht="33" customHeight="1" spans="1:56">
      <c r="A82" s="13" t="s">
        <v>53</v>
      </c>
      <c r="B82" s="14"/>
      <c r="C82" s="15" t="s">
        <v>673</v>
      </c>
      <c r="D82" s="15" t="s">
        <v>673</v>
      </c>
      <c r="E82" s="1">
        <v>1</v>
      </c>
      <c r="F82" s="3">
        <v>0.6</v>
      </c>
      <c r="G82" s="1" t="s">
        <v>55</v>
      </c>
      <c r="H82" s="16" t="str">
        <f t="shared" si="11"/>
        <v>NIGHT LIGHT</v>
      </c>
      <c r="I82" s="16" t="str">
        <f t="shared" si="12"/>
        <v>ABS</v>
      </c>
      <c r="J82" s="16" t="s">
        <v>674</v>
      </c>
      <c r="K82" s="17" t="str">
        <f t="shared" si="13"/>
        <v>小川 香織 [オガワ カオリ]</v>
      </c>
      <c r="L82" s="17"/>
      <c r="M82" s="18" t="str">
        <f t="shared" si="14"/>
        <v>北海道札幌市厚別区厚別東三条3丁目9-30</v>
      </c>
      <c r="N82" s="19" t="str">
        <f t="shared" si="15"/>
        <v>北海道札幌市厚別区厚別東三条3丁目9-30</v>
      </c>
      <c r="O82" s="20" t="str">
        <f>MID(N82,MIN(IFERROR(FIND({0,1,2,3,4,5,6,7,8,9},N82),LEN(N82)+1)),LEN(N82))</f>
        <v>3丁目9-30</v>
      </c>
      <c r="P82" s="20" t="str">
        <f t="shared" si="16"/>
        <v> 3丁目9-30</v>
      </c>
      <c r="Q82" s="19" t="s">
        <v>675</v>
      </c>
      <c r="R82" s="21" t="s">
        <v>676</v>
      </c>
      <c r="S82" s="22" t="s">
        <v>59</v>
      </c>
      <c r="T82" s="22" t="s">
        <v>60</v>
      </c>
      <c r="U82" s="23" t="s">
        <v>61</v>
      </c>
      <c r="V82" s="23" t="s">
        <v>62</v>
      </c>
      <c r="W82" s="24"/>
      <c r="X82" s="25">
        <f t="shared" si="17"/>
        <v>2</v>
      </c>
      <c r="Y82" s="23" t="s">
        <v>63</v>
      </c>
      <c r="Z82" s="23" t="s">
        <v>62</v>
      </c>
      <c r="AA82" s="23"/>
      <c r="AB82" s="23" t="s">
        <v>64</v>
      </c>
      <c r="AD82" s="19" t="s">
        <v>674</v>
      </c>
      <c r="AE82" s="1" t="str">
        <f t="shared" si="18"/>
        <v>北海道札幌市厚別区厚別東三条3丁目9-30</v>
      </c>
      <c r="AF82" s="1" t="s">
        <v>676</v>
      </c>
      <c r="AG82" s="1" t="s">
        <v>675</v>
      </c>
      <c r="AH82" s="1" t="s">
        <v>176</v>
      </c>
      <c r="AI82" s="1" t="str">
        <f t="shared" si="19"/>
        <v> 東京都品川区平塚1-13-1</v>
      </c>
      <c r="AJ82" s="1" t="s">
        <v>177</v>
      </c>
      <c r="AK82" s="26" t="s">
        <v>67</v>
      </c>
      <c r="AL82" s="26">
        <v>1</v>
      </c>
      <c r="AM82" s="19" t="str">
        <f ca="1" t="shared" si="20"/>
        <v>PJP001</v>
      </c>
      <c r="AN82" s="1" t="str">
        <f ca="1" t="shared" si="21"/>
        <v/>
      </c>
      <c r="AU82" s="1" t="s">
        <v>115</v>
      </c>
      <c r="AV82" s="1" t="s">
        <v>435</v>
      </c>
      <c r="AW82" s="1" t="s">
        <v>677</v>
      </c>
      <c r="AX82" s="1" t="s">
        <v>678</v>
      </c>
      <c r="AY82" s="1" t="s">
        <v>72</v>
      </c>
      <c r="AZ82" s="1">
        <v>2.2</v>
      </c>
      <c r="BA82" s="1" t="s">
        <v>180</v>
      </c>
      <c r="BB82" s="1"/>
      <c r="BC82" s="1"/>
      <c r="BD82" s="1"/>
    </row>
    <row r="83" ht="33" customHeight="1" spans="1:56">
      <c r="A83" s="13" t="s">
        <v>53</v>
      </c>
      <c r="B83" s="14"/>
      <c r="C83" s="15" t="s">
        <v>679</v>
      </c>
      <c r="D83" s="15" t="s">
        <v>679</v>
      </c>
      <c r="E83" s="1">
        <v>1</v>
      </c>
      <c r="F83" s="3">
        <v>0.58</v>
      </c>
      <c r="G83" s="1" t="s">
        <v>55</v>
      </c>
      <c r="H83" s="16" t="str">
        <f t="shared" si="11"/>
        <v>FAN</v>
      </c>
      <c r="I83" s="16" t="str">
        <f t="shared" si="12"/>
        <v>ABS</v>
      </c>
      <c r="J83" s="16" t="s">
        <v>680</v>
      </c>
      <c r="K83" s="17" t="str">
        <f t="shared" si="13"/>
        <v>岩井 綾 [イワイ アヤ]</v>
      </c>
      <c r="L83" s="17"/>
      <c r="M83" s="18" t="str">
        <f t="shared" si="14"/>
        <v>埼玉県さいたま市西区内野本郷303-13</v>
      </c>
      <c r="N83" s="19" t="str">
        <f t="shared" si="15"/>
        <v>埼玉県さいたま市西区内野本郷303-13</v>
      </c>
      <c r="O83" s="20" t="str">
        <f>MID(N83,MIN(IFERROR(FIND({0,1,2,3,4,5,6,7,8,9},N83),LEN(N83)+1)),LEN(N83))</f>
        <v>303-13</v>
      </c>
      <c r="P83" s="20" t="str">
        <f t="shared" si="16"/>
        <v> 303-13</v>
      </c>
      <c r="Q83" s="19" t="s">
        <v>681</v>
      </c>
      <c r="R83" s="21" t="s">
        <v>682</v>
      </c>
      <c r="S83" s="22" t="s">
        <v>59</v>
      </c>
      <c r="T83" s="22" t="s">
        <v>60</v>
      </c>
      <c r="U83" s="23" t="s">
        <v>61</v>
      </c>
      <c r="V83" s="23" t="s">
        <v>62</v>
      </c>
      <c r="W83" s="24"/>
      <c r="X83" s="25">
        <f t="shared" si="17"/>
        <v>15</v>
      </c>
      <c r="Y83" s="23" t="s">
        <v>63</v>
      </c>
      <c r="Z83" s="23" t="s">
        <v>62</v>
      </c>
      <c r="AA83" s="23"/>
      <c r="AB83" s="23" t="s">
        <v>64</v>
      </c>
      <c r="AD83" s="19" t="s">
        <v>680</v>
      </c>
      <c r="AE83" s="1" t="str">
        <f t="shared" si="18"/>
        <v>埼玉県さいたま市西区内野本郷303-13</v>
      </c>
      <c r="AF83" s="1" t="s">
        <v>682</v>
      </c>
      <c r="AG83" s="1" t="s">
        <v>681</v>
      </c>
      <c r="AH83" s="1" t="s">
        <v>683</v>
      </c>
      <c r="AI83" s="1" t="str">
        <f t="shared" si="19"/>
        <v> 西成区北津守４－１３－４３</v>
      </c>
      <c r="AJ83" s="1" t="s">
        <v>684</v>
      </c>
      <c r="AK83" s="26" t="s">
        <v>67</v>
      </c>
      <c r="AL83" s="26">
        <v>1</v>
      </c>
      <c r="AM83" s="19" t="str">
        <f ca="1" t="shared" si="20"/>
        <v>PJP001</v>
      </c>
      <c r="AN83" s="1" t="str">
        <f ca="1" t="shared" si="21"/>
        <v/>
      </c>
      <c r="AU83" s="1" t="s">
        <v>265</v>
      </c>
      <c r="AV83" s="1" t="s">
        <v>685</v>
      </c>
      <c r="AW83" s="1" t="s">
        <v>686</v>
      </c>
      <c r="AX83" s="1" t="s">
        <v>687</v>
      </c>
      <c r="AY83" s="1" t="s">
        <v>72</v>
      </c>
      <c r="AZ83" s="1">
        <v>15</v>
      </c>
      <c r="BA83" s="1" t="s">
        <v>688</v>
      </c>
      <c r="BB83" s="1"/>
      <c r="BC83" s="1"/>
      <c r="BD83" s="1"/>
    </row>
    <row r="84" ht="33" customHeight="1" spans="1:56">
      <c r="A84" s="13" t="s">
        <v>53</v>
      </c>
      <c r="B84" s="14"/>
      <c r="C84" s="15" t="s">
        <v>689</v>
      </c>
      <c r="D84" s="15" t="s">
        <v>689</v>
      </c>
      <c r="E84" s="1">
        <v>1</v>
      </c>
      <c r="F84" s="3">
        <v>0.8</v>
      </c>
      <c r="G84" s="1" t="s">
        <v>55</v>
      </c>
      <c r="H84" s="16" t="str">
        <f t="shared" si="11"/>
        <v>HEATER</v>
      </c>
      <c r="I84" s="16" t="str">
        <f t="shared" si="12"/>
        <v>ABS</v>
      </c>
      <c r="J84" s="16" t="s">
        <v>690</v>
      </c>
      <c r="K84" s="17" t="str">
        <f t="shared" si="13"/>
        <v>大杉真奈美</v>
      </c>
      <c r="L84" s="17"/>
      <c r="M84" s="18" t="str">
        <f t="shared" si="14"/>
        <v>岡山県美作市古町1902-1</v>
      </c>
      <c r="N84" s="19" t="str">
        <f t="shared" si="15"/>
        <v>岡山県美作市古町1902-1</v>
      </c>
      <c r="O84" s="20" t="str">
        <f>MID(N84,MIN(IFERROR(FIND({0,1,2,3,4,5,6,7,8,9},N84),LEN(N84)+1)),LEN(N84))</f>
        <v>1902-1</v>
      </c>
      <c r="P84" s="20" t="str">
        <f t="shared" si="16"/>
        <v> 1902-1</v>
      </c>
      <c r="Q84" s="19" t="s">
        <v>691</v>
      </c>
      <c r="R84" s="21" t="s">
        <v>692</v>
      </c>
      <c r="S84" s="22" t="s">
        <v>59</v>
      </c>
      <c r="T84" s="22" t="s">
        <v>60</v>
      </c>
      <c r="U84" s="23" t="s">
        <v>61</v>
      </c>
      <c r="V84" s="23" t="s">
        <v>62</v>
      </c>
      <c r="W84" s="24"/>
      <c r="X84" s="25">
        <f t="shared" si="17"/>
        <v>10</v>
      </c>
      <c r="Y84" s="23" t="s">
        <v>63</v>
      </c>
      <c r="Z84" s="23" t="s">
        <v>62</v>
      </c>
      <c r="AA84" s="23"/>
      <c r="AB84" s="23" t="s">
        <v>64</v>
      </c>
      <c r="AD84" s="19" t="s">
        <v>690</v>
      </c>
      <c r="AE84" s="1" t="str">
        <f t="shared" si="18"/>
        <v>岡山県美作市古町1902-1</v>
      </c>
      <c r="AF84" s="1" t="s">
        <v>692</v>
      </c>
      <c r="AG84" s="1" t="s">
        <v>691</v>
      </c>
      <c r="AH84" s="1"/>
      <c r="AI84" s="1" t="str">
        <f t="shared" si="19"/>
        <v> </v>
      </c>
      <c r="AJ84" s="1" t="s">
        <v>91</v>
      </c>
      <c r="AK84" s="26" t="s">
        <v>67</v>
      </c>
      <c r="AL84" s="26">
        <v>1</v>
      </c>
      <c r="AM84" s="19" t="str">
        <f ca="1" t="shared" si="20"/>
        <v>JCNZZZ</v>
      </c>
      <c r="AN84" s="1" t="str">
        <f ca="1" t="shared" si="21"/>
        <v>ALIBABA</v>
      </c>
      <c r="AU84" s="1"/>
      <c r="AV84" s="1"/>
      <c r="AW84" s="1" t="s">
        <v>693</v>
      </c>
      <c r="AX84" s="1" t="s">
        <v>694</v>
      </c>
      <c r="AY84" s="1" t="s">
        <v>72</v>
      </c>
      <c r="AZ84" s="1">
        <v>10</v>
      </c>
      <c r="BA84" s="1" t="s">
        <v>91</v>
      </c>
      <c r="BB84" s="1"/>
      <c r="BC84" s="1"/>
      <c r="BD84" s="1"/>
    </row>
    <row r="85" ht="33" customHeight="1" spans="1:56">
      <c r="A85" s="13" t="s">
        <v>53</v>
      </c>
      <c r="B85" s="14"/>
      <c r="C85" s="15" t="s">
        <v>695</v>
      </c>
      <c r="D85" s="15" t="s">
        <v>695</v>
      </c>
      <c r="E85" s="1">
        <v>1</v>
      </c>
      <c r="F85" s="3">
        <v>3.73</v>
      </c>
      <c r="G85" s="1" t="s">
        <v>55</v>
      </c>
      <c r="H85" s="16" t="str">
        <f t="shared" si="11"/>
        <v>PLASTIC TOYS</v>
      </c>
      <c r="I85" s="16" t="str">
        <f t="shared" si="12"/>
        <v>ABS</v>
      </c>
      <c r="J85" s="16" t="s">
        <v>571</v>
      </c>
      <c r="K85" s="17" t="str">
        <f t="shared" si="13"/>
        <v>安达翔</v>
      </c>
      <c r="L85" s="17"/>
      <c r="M85" s="18" t="str">
        <f t="shared" si="14"/>
        <v>埼玉県狭山市大字水野５０７－１</v>
      </c>
      <c r="N85" s="19" t="str">
        <f t="shared" si="15"/>
        <v>埼玉県狭山市大字水野５０７－１</v>
      </c>
      <c r="O85" s="20" t="str">
        <f>MID(N85,MIN(IFERROR(FIND({0,1,2,3,4,5,6,7,8,9},N85),LEN(N85)+1)),LEN(N85))</f>
        <v/>
      </c>
      <c r="P85" s="20" t="str">
        <f t="shared" si="16"/>
        <v> </v>
      </c>
      <c r="Q85" s="19" t="s">
        <v>572</v>
      </c>
      <c r="R85" s="21" t="s">
        <v>573</v>
      </c>
      <c r="S85" s="22" t="s">
        <v>59</v>
      </c>
      <c r="T85" s="22" t="s">
        <v>60</v>
      </c>
      <c r="U85" s="23" t="s">
        <v>61</v>
      </c>
      <c r="V85" s="23" t="s">
        <v>62</v>
      </c>
      <c r="W85" s="24"/>
      <c r="X85" s="25">
        <f t="shared" si="17"/>
        <v>12</v>
      </c>
      <c r="Y85" s="23" t="s">
        <v>63</v>
      </c>
      <c r="Z85" s="23" t="s">
        <v>62</v>
      </c>
      <c r="AA85" s="23"/>
      <c r="AB85" s="23" t="s">
        <v>64</v>
      </c>
      <c r="AD85" s="19" t="s">
        <v>571</v>
      </c>
      <c r="AE85" s="1" t="str">
        <f t="shared" si="18"/>
        <v>埼玉県狭山市大字水野５０７－１</v>
      </c>
      <c r="AF85" s="1" t="s">
        <v>573</v>
      </c>
      <c r="AG85" s="1" t="s">
        <v>572</v>
      </c>
      <c r="AH85" s="1"/>
      <c r="AI85" s="1" t="str">
        <f t="shared" si="19"/>
        <v> </v>
      </c>
      <c r="AJ85" s="1" t="s">
        <v>91</v>
      </c>
      <c r="AK85" s="26" t="s">
        <v>67</v>
      </c>
      <c r="AL85" s="26">
        <v>1</v>
      </c>
      <c r="AM85" s="19" t="str">
        <f ca="1" t="shared" si="20"/>
        <v>JCNZZZ</v>
      </c>
      <c r="AN85" s="1" t="str">
        <f ca="1" t="shared" si="21"/>
        <v>PingDduoDduo</v>
      </c>
      <c r="AU85" s="1"/>
      <c r="AV85" s="1"/>
      <c r="AW85" s="1" t="s">
        <v>574</v>
      </c>
      <c r="AX85" s="1" t="s">
        <v>310</v>
      </c>
      <c r="AY85" s="1" t="s">
        <v>72</v>
      </c>
      <c r="AZ85" s="1">
        <v>12.8</v>
      </c>
      <c r="BA85" s="1" t="s">
        <v>91</v>
      </c>
      <c r="BB85" s="1"/>
      <c r="BC85" s="1"/>
      <c r="BD85" s="1"/>
    </row>
    <row r="86" ht="33" customHeight="1" spans="1:56">
      <c r="A86" s="13" t="s">
        <v>53</v>
      </c>
      <c r="B86" s="14"/>
      <c r="C86" s="15" t="s">
        <v>696</v>
      </c>
      <c r="D86" s="15" t="s">
        <v>696</v>
      </c>
      <c r="E86" s="1">
        <v>1</v>
      </c>
      <c r="F86" s="3">
        <v>0.71</v>
      </c>
      <c r="G86" s="1" t="s">
        <v>55</v>
      </c>
      <c r="H86" s="16" t="str">
        <f t="shared" si="11"/>
        <v>DASHCAM</v>
      </c>
      <c r="I86" s="16" t="str">
        <f t="shared" si="12"/>
        <v>ABS</v>
      </c>
      <c r="J86" s="16" t="s">
        <v>697</v>
      </c>
      <c r="K86" s="17" t="str">
        <f t="shared" si="13"/>
        <v>鉄山高</v>
      </c>
      <c r="L86" s="17"/>
      <c r="M86" s="18" t="str">
        <f t="shared" si="14"/>
        <v>大分県佐伯市直川仁田原７９８番地-1</v>
      </c>
      <c r="N86" s="19" t="str">
        <f t="shared" si="15"/>
        <v>大分県佐伯市直川仁田原７９８番地-1</v>
      </c>
      <c r="O86" s="20" t="str">
        <f>MID(N86,MIN(IFERROR(FIND({0,1,2,3,4,5,6,7,8,9},N86),LEN(N86)+1)),LEN(N86))</f>
        <v>1</v>
      </c>
      <c r="P86" s="20" t="str">
        <f t="shared" si="16"/>
        <v> 1</v>
      </c>
      <c r="Q86" s="19" t="s">
        <v>698</v>
      </c>
      <c r="R86" s="21" t="s">
        <v>699</v>
      </c>
      <c r="S86" s="22" t="s">
        <v>59</v>
      </c>
      <c r="T86" s="22" t="s">
        <v>60</v>
      </c>
      <c r="U86" s="23" t="s">
        <v>61</v>
      </c>
      <c r="V86" s="23" t="s">
        <v>62</v>
      </c>
      <c r="W86" s="24"/>
      <c r="X86" s="25">
        <f t="shared" si="17"/>
        <v>10</v>
      </c>
      <c r="Y86" s="23" t="s">
        <v>63</v>
      </c>
      <c r="Z86" s="23" t="s">
        <v>62</v>
      </c>
      <c r="AA86" s="23"/>
      <c r="AB86" s="23" t="s">
        <v>64</v>
      </c>
      <c r="AD86" s="19" t="s">
        <v>697</v>
      </c>
      <c r="AE86" s="1" t="str">
        <f t="shared" si="18"/>
        <v>大分県佐伯市直川仁田原７９８番地-1</v>
      </c>
      <c r="AF86" s="1" t="s">
        <v>699</v>
      </c>
      <c r="AG86" s="1" t="s">
        <v>698</v>
      </c>
      <c r="AH86" s="1"/>
      <c r="AI86" s="1" t="str">
        <f t="shared" si="19"/>
        <v> </v>
      </c>
      <c r="AJ86" s="1" t="s">
        <v>91</v>
      </c>
      <c r="AK86" s="26" t="s">
        <v>67</v>
      </c>
      <c r="AL86" s="26">
        <v>1</v>
      </c>
      <c r="AM86" s="19" t="str">
        <f ca="1" t="shared" si="20"/>
        <v>JCNZZZ</v>
      </c>
      <c r="AN86" s="1" t="str">
        <f ca="1" t="shared" si="21"/>
        <v>ALIBABA</v>
      </c>
      <c r="AU86" s="1"/>
      <c r="AV86" s="1"/>
      <c r="AW86" s="1" t="s">
        <v>700</v>
      </c>
      <c r="AX86" s="1" t="s">
        <v>701</v>
      </c>
      <c r="AY86" s="1" t="s">
        <v>72</v>
      </c>
      <c r="AZ86" s="1">
        <v>10</v>
      </c>
      <c r="BA86" s="1" t="s">
        <v>91</v>
      </c>
      <c r="BB86" s="1"/>
      <c r="BC86" s="1"/>
      <c r="BD86" s="1"/>
    </row>
    <row r="87" ht="33" customHeight="1" spans="1:56">
      <c r="A87" s="13" t="s">
        <v>53</v>
      </c>
      <c r="B87" s="14"/>
      <c r="C87" s="15" t="s">
        <v>702</v>
      </c>
      <c r="D87" s="15" t="s">
        <v>702</v>
      </c>
      <c r="E87" s="1">
        <v>1</v>
      </c>
      <c r="F87" s="3">
        <v>1.08</v>
      </c>
      <c r="G87" s="1" t="s">
        <v>55</v>
      </c>
      <c r="H87" s="16" t="str">
        <f t="shared" si="11"/>
        <v>HUMIDIFIER</v>
      </c>
      <c r="I87" s="16" t="str">
        <f t="shared" si="12"/>
        <v>ABS</v>
      </c>
      <c r="J87" s="16" t="s">
        <v>703</v>
      </c>
      <c r="K87" s="17" t="str">
        <f t="shared" si="13"/>
        <v>FUKUNAGA KATSUSHIKA</v>
      </c>
      <c r="L87" s="17"/>
      <c r="M87" s="18" t="str">
        <f t="shared" si="14"/>
        <v>NO.3000 ICHINOECHO EDOGAWA-KU TOKYO</v>
      </c>
      <c r="N87" s="19" t="str">
        <f t="shared" si="15"/>
        <v>NO.3000 ICHINOECHO EDOGAWA-KU TOKYO</v>
      </c>
      <c r="O87" s="20" t="str">
        <f>MID(N87,MIN(IFERROR(FIND({0,1,2,3,4,5,6,7,8,9},N87),LEN(N87)+1)),LEN(N87))</f>
        <v>3000 ICHINOECHO EDOGAWA-KU TOKYO</v>
      </c>
      <c r="P87" s="20" t="str">
        <f t="shared" si="16"/>
        <v> 3000 ICHINOECHO EDOGAWA-KU TOKYO</v>
      </c>
      <c r="Q87" s="19" t="s">
        <v>704</v>
      </c>
      <c r="R87" s="21" t="s">
        <v>705</v>
      </c>
      <c r="S87" s="22" t="s">
        <v>59</v>
      </c>
      <c r="T87" s="22" t="s">
        <v>60</v>
      </c>
      <c r="U87" s="23" t="s">
        <v>61</v>
      </c>
      <c r="V87" s="23" t="s">
        <v>62</v>
      </c>
      <c r="W87" s="24"/>
      <c r="X87" s="25">
        <f t="shared" si="17"/>
        <v>16</v>
      </c>
      <c r="Y87" s="23" t="s">
        <v>63</v>
      </c>
      <c r="Z87" s="23" t="s">
        <v>62</v>
      </c>
      <c r="AA87" s="23"/>
      <c r="AB87" s="23" t="s">
        <v>64</v>
      </c>
      <c r="AD87" s="19" t="s">
        <v>703</v>
      </c>
      <c r="AE87" s="1" t="str">
        <f t="shared" si="18"/>
        <v>NO.3000 ICHINOECHO EDOGAWA-KU TOKYO</v>
      </c>
      <c r="AF87" s="1" t="s">
        <v>705</v>
      </c>
      <c r="AG87" s="1" t="s">
        <v>704</v>
      </c>
      <c r="AH87" s="1"/>
      <c r="AI87" s="1" t="str">
        <f t="shared" si="19"/>
        <v> </v>
      </c>
      <c r="AJ87" s="1" t="s">
        <v>91</v>
      </c>
      <c r="AK87" s="26" t="s">
        <v>67</v>
      </c>
      <c r="AL87" s="26">
        <v>1</v>
      </c>
      <c r="AM87" s="19" t="str">
        <f ca="1" t="shared" si="20"/>
        <v>JCNZZZ</v>
      </c>
      <c r="AN87" s="1" t="str">
        <f ca="1" t="shared" si="21"/>
        <v>JinDdong</v>
      </c>
      <c r="AU87" s="1"/>
      <c r="AV87" s="1"/>
      <c r="AW87" s="1" t="s">
        <v>706</v>
      </c>
      <c r="AX87" s="1" t="s">
        <v>707</v>
      </c>
      <c r="AY87" s="1" t="s">
        <v>72</v>
      </c>
      <c r="AZ87" s="1">
        <v>16.8</v>
      </c>
      <c r="BA87" s="1" t="s">
        <v>91</v>
      </c>
      <c r="BB87" s="1"/>
      <c r="BC87" s="1"/>
      <c r="BD87" s="1"/>
    </row>
    <row r="88" ht="33" customHeight="1" spans="1:56">
      <c r="A88" s="13" t="s">
        <v>53</v>
      </c>
      <c r="B88" s="14"/>
      <c r="C88" s="15" t="s">
        <v>708</v>
      </c>
      <c r="D88" s="15" t="s">
        <v>708</v>
      </c>
      <c r="E88" s="1">
        <v>1</v>
      </c>
      <c r="F88" s="3">
        <v>0.16</v>
      </c>
      <c r="G88" s="1" t="s">
        <v>55</v>
      </c>
      <c r="H88" s="16" t="str">
        <f t="shared" si="11"/>
        <v>ASHTRAY</v>
      </c>
      <c r="I88" s="16" t="str">
        <f t="shared" si="12"/>
        <v>METAL</v>
      </c>
      <c r="J88" s="16" t="s">
        <v>709</v>
      </c>
      <c r="K88" s="17" t="str">
        <f t="shared" si="13"/>
        <v>樽井 大輔</v>
      </c>
      <c r="L88" s="17"/>
      <c r="M88" s="18" t="str">
        <f t="shared" si="14"/>
        <v>兵庫県高砂市荒井町小松原3丁目1ー3ー202 オリエンタルマンションI</v>
      </c>
      <c r="N88" s="19" t="str">
        <f t="shared" si="15"/>
        <v>兵庫県高砂市荒井町小松原3丁目1ー3ー202 オリエンタルマンションI</v>
      </c>
      <c r="O88" s="20" t="str">
        <f>MID(N88,MIN(IFERROR(FIND({0,1,2,3,4,5,6,7,8,9},N88),LEN(N88)+1)),LEN(N88))</f>
        <v>3丁目1ー3ー202 オリエンタルマンションI</v>
      </c>
      <c r="P88" s="20" t="str">
        <f t="shared" si="16"/>
        <v> 3丁目1ー3ー202 オリエンタルマンションI</v>
      </c>
      <c r="Q88" s="19" t="s">
        <v>710</v>
      </c>
      <c r="R88" s="21" t="s">
        <v>711</v>
      </c>
      <c r="S88" s="22" t="s">
        <v>59</v>
      </c>
      <c r="T88" s="22" t="s">
        <v>60</v>
      </c>
      <c r="U88" s="23" t="s">
        <v>61</v>
      </c>
      <c r="V88" s="23" t="s">
        <v>62</v>
      </c>
      <c r="W88" s="24"/>
      <c r="X88" s="25">
        <f t="shared" si="17"/>
        <v>14</v>
      </c>
      <c r="Y88" s="23" t="s">
        <v>63</v>
      </c>
      <c r="Z88" s="23" t="s">
        <v>62</v>
      </c>
      <c r="AA88" s="23"/>
      <c r="AB88" s="23" t="s">
        <v>64</v>
      </c>
      <c r="AD88" s="19" t="s">
        <v>709</v>
      </c>
      <c r="AE88" s="1" t="str">
        <f t="shared" si="18"/>
        <v>兵庫県高砂市荒井町小松原3丁目1ー3ー202 オリエンタルマンションI</v>
      </c>
      <c r="AF88" s="1" t="s">
        <v>711</v>
      </c>
      <c r="AG88" s="1" t="s">
        <v>710</v>
      </c>
      <c r="AH88" s="1" t="s">
        <v>274</v>
      </c>
      <c r="AI88" s="1" t="str">
        <f t="shared" si="19"/>
        <v> 東京都西多摩郡奥多摩町留浦１０１８</v>
      </c>
      <c r="AJ88" s="1" t="s">
        <v>275</v>
      </c>
      <c r="AK88" s="26" t="s">
        <v>67</v>
      </c>
      <c r="AL88" s="26">
        <v>1</v>
      </c>
      <c r="AM88" s="19" t="str">
        <f ca="1" t="shared" si="20"/>
        <v>JCNZZZ</v>
      </c>
      <c r="AN88" s="1" t="str">
        <f ca="1" t="shared" si="21"/>
        <v>PingDduoDduo</v>
      </c>
      <c r="AU88" s="1" t="s">
        <v>664</v>
      </c>
      <c r="AV88" s="1" t="s">
        <v>712</v>
      </c>
      <c r="AW88" s="1" t="s">
        <v>713</v>
      </c>
      <c r="AX88" s="1" t="s">
        <v>402</v>
      </c>
      <c r="AY88" s="1" t="s">
        <v>161</v>
      </c>
      <c r="AZ88" s="1">
        <v>14</v>
      </c>
      <c r="BA88" s="1" t="s">
        <v>280</v>
      </c>
      <c r="BB88" s="1"/>
      <c r="BC88" s="1"/>
      <c r="BD88" s="1"/>
    </row>
    <row r="89" ht="33" customHeight="1" spans="1:56">
      <c r="A89" s="13" t="s">
        <v>53</v>
      </c>
      <c r="B89" s="14"/>
      <c r="C89" s="15" t="s">
        <v>714</v>
      </c>
      <c r="D89" s="15" t="s">
        <v>714</v>
      </c>
      <c r="E89" s="1">
        <v>1</v>
      </c>
      <c r="F89" s="3">
        <v>0.42</v>
      </c>
      <c r="G89" s="1" t="s">
        <v>55</v>
      </c>
      <c r="H89" s="16" t="str">
        <f t="shared" si="11"/>
        <v>CHILDREN'S EDUCATIONAL TOYS</v>
      </c>
      <c r="I89" s="16" t="str">
        <f t="shared" si="12"/>
        <v>PLASTIC</v>
      </c>
      <c r="J89" s="16" t="s">
        <v>715</v>
      </c>
      <c r="K89" s="17" t="str">
        <f t="shared" si="13"/>
        <v>向井 公幸</v>
      </c>
      <c r="L89" s="17"/>
      <c r="M89" s="18" t="str">
        <f t="shared" si="14"/>
        <v>大分県由布市湯布院町川上331-10</v>
      </c>
      <c r="N89" s="19" t="str">
        <f t="shared" si="15"/>
        <v>大分県由布市湯布院町川上331-10</v>
      </c>
      <c r="O89" s="20" t="str">
        <f>MID(N89,MIN(IFERROR(FIND({0,1,2,3,4,5,6,7,8,9},N89),LEN(N89)+1)),LEN(N89))</f>
        <v>331-10</v>
      </c>
      <c r="P89" s="20" t="str">
        <f t="shared" si="16"/>
        <v> 331-10</v>
      </c>
      <c r="Q89" s="19" t="s">
        <v>716</v>
      </c>
      <c r="R89" s="21" t="s">
        <v>717</v>
      </c>
      <c r="S89" s="22" t="s">
        <v>59</v>
      </c>
      <c r="T89" s="22" t="s">
        <v>60</v>
      </c>
      <c r="U89" s="23" t="s">
        <v>61</v>
      </c>
      <c r="V89" s="23" t="s">
        <v>62</v>
      </c>
      <c r="W89" s="24"/>
      <c r="X89" s="25">
        <f t="shared" si="17"/>
        <v>11</v>
      </c>
      <c r="Y89" s="23" t="s">
        <v>63</v>
      </c>
      <c r="Z89" s="23" t="s">
        <v>62</v>
      </c>
      <c r="AA89" s="23"/>
      <c r="AB89" s="23" t="s">
        <v>64</v>
      </c>
      <c r="AD89" s="19" t="s">
        <v>715</v>
      </c>
      <c r="AE89" s="1" t="str">
        <f t="shared" si="18"/>
        <v>大分県由布市湯布院町川上331-10</v>
      </c>
      <c r="AF89" s="1" t="s">
        <v>717</v>
      </c>
      <c r="AG89" s="1" t="s">
        <v>716</v>
      </c>
      <c r="AH89" s="1" t="s">
        <v>718</v>
      </c>
      <c r="AI89" s="1" t="str">
        <f t="shared" si="19"/>
        <v> 大阪府富田林市平町１－４１０３－１</v>
      </c>
      <c r="AJ89" s="1" t="s">
        <v>719</v>
      </c>
      <c r="AK89" s="26" t="s">
        <v>67</v>
      </c>
      <c r="AL89" s="26">
        <v>1</v>
      </c>
      <c r="AM89" s="19" t="str">
        <f ca="1" t="shared" si="20"/>
        <v>JCNZZZ</v>
      </c>
      <c r="AN89" s="1" t="str">
        <f ca="1" t="shared" si="21"/>
        <v>PingDduoDduo</v>
      </c>
      <c r="AU89" s="1" t="s">
        <v>720</v>
      </c>
      <c r="AV89" s="1" t="s">
        <v>721</v>
      </c>
      <c r="AW89" s="1" t="s">
        <v>722</v>
      </c>
      <c r="AX89" s="1" t="s">
        <v>620</v>
      </c>
      <c r="AY89" s="1" t="s">
        <v>94</v>
      </c>
      <c r="AZ89" s="1">
        <v>11</v>
      </c>
      <c r="BA89" s="1" t="s">
        <v>723</v>
      </c>
      <c r="BB89" s="1"/>
      <c r="BC89" s="1"/>
      <c r="BD89" s="1"/>
    </row>
    <row r="90" ht="33" customHeight="1" spans="1:56">
      <c r="A90" s="13" t="s">
        <v>53</v>
      </c>
      <c r="B90" s="14"/>
      <c r="C90" s="15" t="s">
        <v>724</v>
      </c>
      <c r="D90" s="15" t="s">
        <v>724</v>
      </c>
      <c r="E90" s="1">
        <v>1</v>
      </c>
      <c r="F90" s="3">
        <v>0.58</v>
      </c>
      <c r="G90" s="1" t="s">
        <v>55</v>
      </c>
      <c r="H90" s="16" t="str">
        <f t="shared" si="11"/>
        <v>FAN</v>
      </c>
      <c r="I90" s="16" t="str">
        <f t="shared" si="12"/>
        <v>ABS</v>
      </c>
      <c r="J90" s="16" t="s">
        <v>725</v>
      </c>
      <c r="K90" s="17" t="str">
        <f t="shared" si="13"/>
        <v>米山 智子 [ヨネヤマ トモコ]</v>
      </c>
      <c r="L90" s="17"/>
      <c r="M90" s="18" t="str">
        <f t="shared" si="14"/>
        <v>長野県長野市安茂里1728-2</v>
      </c>
      <c r="N90" s="19" t="str">
        <f t="shared" si="15"/>
        <v>長野県長野市安茂里1728-2</v>
      </c>
      <c r="O90" s="20" t="str">
        <f>MID(N90,MIN(IFERROR(FIND({0,1,2,3,4,5,6,7,8,9},N90),LEN(N90)+1)),LEN(N90))</f>
        <v>1728-2</v>
      </c>
      <c r="P90" s="20" t="str">
        <f t="shared" si="16"/>
        <v> 1728-2</v>
      </c>
      <c r="Q90" s="19" t="s">
        <v>726</v>
      </c>
      <c r="R90" s="21" t="s">
        <v>727</v>
      </c>
      <c r="S90" s="22" t="s">
        <v>59</v>
      </c>
      <c r="T90" s="22" t="s">
        <v>60</v>
      </c>
      <c r="U90" s="23" t="s">
        <v>61</v>
      </c>
      <c r="V90" s="23" t="s">
        <v>62</v>
      </c>
      <c r="W90" s="24"/>
      <c r="X90" s="25">
        <f t="shared" si="17"/>
        <v>15</v>
      </c>
      <c r="Y90" s="23" t="s">
        <v>63</v>
      </c>
      <c r="Z90" s="23" t="s">
        <v>62</v>
      </c>
      <c r="AA90" s="23"/>
      <c r="AB90" s="23" t="s">
        <v>64</v>
      </c>
      <c r="AD90" s="19" t="s">
        <v>725</v>
      </c>
      <c r="AE90" s="1" t="str">
        <f t="shared" si="18"/>
        <v>長野県長野市安茂里1728-2</v>
      </c>
      <c r="AF90" s="1" t="s">
        <v>727</v>
      </c>
      <c r="AG90" s="1" t="s">
        <v>726</v>
      </c>
      <c r="AH90" s="1" t="s">
        <v>683</v>
      </c>
      <c r="AI90" s="1" t="str">
        <f t="shared" si="19"/>
        <v> 西成区北津守４－１３－４３</v>
      </c>
      <c r="AJ90" s="1" t="s">
        <v>684</v>
      </c>
      <c r="AK90" s="26" t="s">
        <v>67</v>
      </c>
      <c r="AL90" s="26">
        <v>1</v>
      </c>
      <c r="AM90" s="19" t="str">
        <f ca="1" t="shared" si="20"/>
        <v>PJP001</v>
      </c>
      <c r="AN90" s="1" t="str">
        <f ca="1" t="shared" si="21"/>
        <v/>
      </c>
      <c r="AU90" s="1" t="s">
        <v>728</v>
      </c>
      <c r="AV90" s="1" t="s">
        <v>729</v>
      </c>
      <c r="AW90" s="1" t="s">
        <v>730</v>
      </c>
      <c r="AX90" s="1" t="s">
        <v>687</v>
      </c>
      <c r="AY90" s="1" t="s">
        <v>72</v>
      </c>
      <c r="AZ90" s="1">
        <v>15</v>
      </c>
      <c r="BA90" s="1" t="s">
        <v>688</v>
      </c>
      <c r="BB90" s="1"/>
      <c r="BC90" s="1"/>
      <c r="BD90" s="1"/>
    </row>
    <row r="91" ht="33" customHeight="1" spans="1:56">
      <c r="A91" s="13" t="s">
        <v>53</v>
      </c>
      <c r="B91" s="14"/>
      <c r="C91" s="15" t="s">
        <v>731</v>
      </c>
      <c r="D91" s="15" t="s">
        <v>731</v>
      </c>
      <c r="E91" s="1">
        <v>1</v>
      </c>
      <c r="F91" s="3">
        <v>0.58</v>
      </c>
      <c r="G91" s="1" t="s">
        <v>55</v>
      </c>
      <c r="H91" s="16" t="str">
        <f t="shared" si="11"/>
        <v>FAN</v>
      </c>
      <c r="I91" s="16" t="str">
        <f t="shared" si="12"/>
        <v>ABS</v>
      </c>
      <c r="J91" s="16" t="s">
        <v>732</v>
      </c>
      <c r="K91" s="17" t="str">
        <f t="shared" si="13"/>
        <v>山田 美代子 [ヤマダ ミヨコ]</v>
      </c>
      <c r="L91" s="17"/>
      <c r="M91" s="18" t="str">
        <f t="shared" si="14"/>
        <v>山口県山口市黒川642-15</v>
      </c>
      <c r="N91" s="19" t="str">
        <f t="shared" si="15"/>
        <v>山口県山口市黒川642-15</v>
      </c>
      <c r="O91" s="20" t="str">
        <f>MID(N91,MIN(IFERROR(FIND({0,1,2,3,4,5,6,7,8,9},N91),LEN(N91)+1)),LEN(N91))</f>
        <v>642-15</v>
      </c>
      <c r="P91" s="20" t="str">
        <f t="shared" si="16"/>
        <v> 642-15</v>
      </c>
      <c r="Q91" s="19" t="s">
        <v>733</v>
      </c>
      <c r="R91" s="21" t="s">
        <v>734</v>
      </c>
      <c r="S91" s="22" t="s">
        <v>59</v>
      </c>
      <c r="T91" s="22" t="s">
        <v>60</v>
      </c>
      <c r="U91" s="23" t="s">
        <v>61</v>
      </c>
      <c r="V91" s="23" t="s">
        <v>62</v>
      </c>
      <c r="W91" s="24"/>
      <c r="X91" s="25">
        <f t="shared" si="17"/>
        <v>15</v>
      </c>
      <c r="Y91" s="23" t="s">
        <v>63</v>
      </c>
      <c r="Z91" s="23" t="s">
        <v>62</v>
      </c>
      <c r="AA91" s="23"/>
      <c r="AB91" s="23" t="s">
        <v>64</v>
      </c>
      <c r="AD91" s="19" t="s">
        <v>732</v>
      </c>
      <c r="AE91" s="1" t="str">
        <f t="shared" si="18"/>
        <v>山口県山口市黒川642-15</v>
      </c>
      <c r="AF91" s="1" t="s">
        <v>734</v>
      </c>
      <c r="AG91" s="1" t="s">
        <v>733</v>
      </c>
      <c r="AH91" s="1" t="s">
        <v>683</v>
      </c>
      <c r="AI91" s="1" t="str">
        <f t="shared" si="19"/>
        <v> 西成区北津守４－１３－４３</v>
      </c>
      <c r="AJ91" s="1" t="s">
        <v>684</v>
      </c>
      <c r="AK91" s="26" t="s">
        <v>67</v>
      </c>
      <c r="AL91" s="26">
        <v>1</v>
      </c>
      <c r="AM91" s="19" t="str">
        <f ca="1" t="shared" si="20"/>
        <v>PJP001</v>
      </c>
      <c r="AN91" s="1" t="str">
        <f ca="1" t="shared" si="21"/>
        <v/>
      </c>
      <c r="AU91" s="1" t="s">
        <v>553</v>
      </c>
      <c r="AV91" s="1" t="s">
        <v>735</v>
      </c>
      <c r="AW91" s="1" t="s">
        <v>736</v>
      </c>
      <c r="AX91" s="1" t="s">
        <v>687</v>
      </c>
      <c r="AY91" s="1" t="s">
        <v>72</v>
      </c>
      <c r="AZ91" s="1">
        <v>15</v>
      </c>
      <c r="BA91" s="1" t="s">
        <v>688</v>
      </c>
      <c r="BB91" s="1"/>
      <c r="BC91" s="1"/>
      <c r="BD91" s="1"/>
    </row>
    <row r="92" ht="33" customHeight="1" spans="1:56">
      <c r="A92" s="13" t="s">
        <v>53</v>
      </c>
      <c r="B92" s="14"/>
      <c r="C92" s="15" t="s">
        <v>737</v>
      </c>
      <c r="D92" s="15" t="s">
        <v>737</v>
      </c>
      <c r="E92" s="1">
        <v>1</v>
      </c>
      <c r="F92" s="3">
        <v>2.12</v>
      </c>
      <c r="G92" s="1" t="s">
        <v>55</v>
      </c>
      <c r="H92" s="16" t="str">
        <f t="shared" si="11"/>
        <v>TOY</v>
      </c>
      <c r="I92" s="16" t="str">
        <f t="shared" si="12"/>
        <v>ABS</v>
      </c>
      <c r="J92" s="16" t="s">
        <v>738</v>
      </c>
      <c r="K92" s="17" t="str">
        <f t="shared" si="13"/>
        <v>片山 健丸 [カタヤマ タケマル]</v>
      </c>
      <c r="L92" s="17"/>
      <c r="M92" s="18" t="str">
        <f t="shared" si="14"/>
        <v>神奈川県横浜市保土ケ谷区岩井町222 保土ヶ谷フラット3号棟317号</v>
      </c>
      <c r="N92" s="19" t="str">
        <f t="shared" si="15"/>
        <v>神奈川県横浜市保土ケ谷区岩井町222 保土ヶ谷フラット3号棟317号</v>
      </c>
      <c r="O92" s="20" t="str">
        <f>MID(N92,MIN(IFERROR(FIND({0,1,2,3,4,5,6,7,8,9},N92),LEN(N92)+1)),LEN(N92))</f>
        <v>222 保土ヶ谷フラット3号棟317号</v>
      </c>
      <c r="P92" s="20" t="str">
        <f t="shared" si="16"/>
        <v> 222 保土ヶ谷フラット3号棟317号</v>
      </c>
      <c r="Q92" s="19" t="s">
        <v>739</v>
      </c>
      <c r="R92" s="21" t="s">
        <v>740</v>
      </c>
      <c r="S92" s="22" t="s">
        <v>59</v>
      </c>
      <c r="T92" s="22" t="s">
        <v>60</v>
      </c>
      <c r="U92" s="23" t="s">
        <v>61</v>
      </c>
      <c r="V92" s="23" t="s">
        <v>62</v>
      </c>
      <c r="W92" s="24"/>
      <c r="X92" s="25">
        <f t="shared" si="17"/>
        <v>10</v>
      </c>
      <c r="Y92" s="23" t="s">
        <v>63</v>
      </c>
      <c r="Z92" s="23" t="s">
        <v>62</v>
      </c>
      <c r="AA92" s="23"/>
      <c r="AB92" s="23" t="s">
        <v>64</v>
      </c>
      <c r="AD92" s="19" t="s">
        <v>738</v>
      </c>
      <c r="AE92" s="1" t="str">
        <f t="shared" si="18"/>
        <v>神奈川県横浜市保土ケ谷区岩井町222 保土ヶ谷フラット3号棟317号</v>
      </c>
      <c r="AF92" s="1" t="s">
        <v>740</v>
      </c>
      <c r="AG92" s="1" t="s">
        <v>739</v>
      </c>
      <c r="AH92" s="1" t="s">
        <v>683</v>
      </c>
      <c r="AI92" s="1" t="str">
        <f t="shared" si="19"/>
        <v> 西成区北津守４－１３－４３</v>
      </c>
      <c r="AJ92" s="1" t="s">
        <v>684</v>
      </c>
      <c r="AK92" s="26" t="s">
        <v>67</v>
      </c>
      <c r="AL92" s="26">
        <v>1</v>
      </c>
      <c r="AM92" s="19" t="str">
        <f ca="1" t="shared" si="20"/>
        <v>PJP001</v>
      </c>
      <c r="AN92" s="1" t="str">
        <f ca="1" t="shared" si="21"/>
        <v/>
      </c>
      <c r="AU92" s="1" t="s">
        <v>101</v>
      </c>
      <c r="AV92" s="1" t="s">
        <v>741</v>
      </c>
      <c r="AW92" s="1" t="s">
        <v>742</v>
      </c>
      <c r="AX92" s="1" t="s">
        <v>319</v>
      </c>
      <c r="AY92" s="1" t="s">
        <v>72</v>
      </c>
      <c r="AZ92" s="1">
        <v>10</v>
      </c>
      <c r="BA92" s="1" t="s">
        <v>688</v>
      </c>
      <c r="BB92" s="1"/>
      <c r="BC92" s="1"/>
      <c r="BD92" s="1"/>
    </row>
    <row r="93" ht="33" customHeight="1" spans="1:56">
      <c r="A93" s="13" t="s">
        <v>53</v>
      </c>
      <c r="B93" s="14"/>
      <c r="C93" s="15" t="s">
        <v>743</v>
      </c>
      <c r="D93" s="15" t="s">
        <v>743</v>
      </c>
      <c r="E93" s="1">
        <v>1</v>
      </c>
      <c r="F93" s="3">
        <v>3.95</v>
      </c>
      <c r="G93" s="1" t="s">
        <v>55</v>
      </c>
      <c r="H93" s="16" t="str">
        <f t="shared" si="11"/>
        <v>PLASTIC TOYS</v>
      </c>
      <c r="I93" s="16" t="str">
        <f t="shared" si="12"/>
        <v>ABS</v>
      </c>
      <c r="J93" s="16" t="s">
        <v>649</v>
      </c>
      <c r="K93" s="17" t="str">
        <f t="shared" si="13"/>
        <v>五井</v>
      </c>
      <c r="L93" s="17"/>
      <c r="M93" s="18" t="str">
        <f t="shared" si="14"/>
        <v>埼玉県戸田市新曽802-2 エクリューズ 204</v>
      </c>
      <c r="N93" s="19" t="str">
        <f t="shared" si="15"/>
        <v>埼玉県戸田市新曽802-2 エクリューズ 204</v>
      </c>
      <c r="O93" s="20" t="str">
        <f>MID(N93,MIN(IFERROR(FIND({0,1,2,3,4,5,6,7,8,9},N93),LEN(N93)+1)),LEN(N93))</f>
        <v>802-2 エクリューズ 204</v>
      </c>
      <c r="P93" s="20" t="str">
        <f t="shared" si="16"/>
        <v> 802-2 エクリューズ 204</v>
      </c>
      <c r="Q93" s="19" t="s">
        <v>650</v>
      </c>
      <c r="R93" s="21" t="s">
        <v>651</v>
      </c>
      <c r="S93" s="22" t="s">
        <v>59</v>
      </c>
      <c r="T93" s="22" t="s">
        <v>60</v>
      </c>
      <c r="U93" s="23" t="s">
        <v>61</v>
      </c>
      <c r="V93" s="23" t="s">
        <v>62</v>
      </c>
      <c r="W93" s="24"/>
      <c r="X93" s="25">
        <f t="shared" si="17"/>
        <v>12</v>
      </c>
      <c r="Y93" s="23" t="s">
        <v>63</v>
      </c>
      <c r="Z93" s="23" t="s">
        <v>62</v>
      </c>
      <c r="AA93" s="23"/>
      <c r="AB93" s="23" t="s">
        <v>64</v>
      </c>
      <c r="AD93" s="19" t="s">
        <v>649</v>
      </c>
      <c r="AE93" s="1" t="str">
        <f t="shared" si="18"/>
        <v>埼玉県戸田市新曽802-2 エクリューズ 204</v>
      </c>
      <c r="AF93" s="1" t="s">
        <v>651</v>
      </c>
      <c r="AG93" s="1" t="s">
        <v>650</v>
      </c>
      <c r="AH93" s="1"/>
      <c r="AI93" s="1" t="str">
        <f t="shared" si="19"/>
        <v> </v>
      </c>
      <c r="AJ93" s="1" t="s">
        <v>91</v>
      </c>
      <c r="AK93" s="26" t="s">
        <v>67</v>
      </c>
      <c r="AL93" s="26">
        <v>1</v>
      </c>
      <c r="AM93" s="19" t="str">
        <f ca="1" t="shared" si="20"/>
        <v>JCNZZZ</v>
      </c>
      <c r="AN93" s="1" t="str">
        <f ca="1" t="shared" si="21"/>
        <v>JinDdong</v>
      </c>
      <c r="AU93" s="1"/>
      <c r="AV93" s="1"/>
      <c r="AW93" s="1" t="s">
        <v>652</v>
      </c>
      <c r="AX93" s="1" t="s">
        <v>310</v>
      </c>
      <c r="AY93" s="1" t="s">
        <v>72</v>
      </c>
      <c r="AZ93" s="1">
        <v>12.8</v>
      </c>
      <c r="BA93" s="1" t="s">
        <v>91</v>
      </c>
      <c r="BB93" s="1"/>
      <c r="BC93" s="1"/>
      <c r="BD93" s="1"/>
    </row>
    <row r="94" ht="33" customHeight="1" spans="1:56">
      <c r="A94" s="13" t="s">
        <v>53</v>
      </c>
      <c r="B94" s="14"/>
      <c r="C94" s="15" t="s">
        <v>744</v>
      </c>
      <c r="D94" s="15" t="s">
        <v>744</v>
      </c>
      <c r="E94" s="1">
        <v>1</v>
      </c>
      <c r="F94" s="3">
        <v>1.13</v>
      </c>
      <c r="G94" s="1" t="s">
        <v>55</v>
      </c>
      <c r="H94" s="16" t="str">
        <f t="shared" si="11"/>
        <v>TOY CAR</v>
      </c>
      <c r="I94" s="16" t="str">
        <f t="shared" si="12"/>
        <v>ABS</v>
      </c>
      <c r="J94" s="16" t="s">
        <v>745</v>
      </c>
      <c r="K94" s="17" t="str">
        <f t="shared" si="13"/>
        <v>加我 しおり [カガ シオリ]</v>
      </c>
      <c r="L94" s="17"/>
      <c r="M94" s="18" t="str">
        <f t="shared" si="14"/>
        <v>北海道白老郡白老町末広町4丁目10-7</v>
      </c>
      <c r="N94" s="19" t="str">
        <f t="shared" si="15"/>
        <v>北海道白老郡白老町末広町4丁目10-7</v>
      </c>
      <c r="O94" s="20" t="str">
        <f>MID(N94,MIN(IFERROR(FIND({0,1,2,3,4,5,6,7,8,9},N94),LEN(N94)+1)),LEN(N94))</f>
        <v>4丁目10-7</v>
      </c>
      <c r="P94" s="20" t="str">
        <f t="shared" si="16"/>
        <v> 4丁目10-7</v>
      </c>
      <c r="Q94" s="19" t="s">
        <v>746</v>
      </c>
      <c r="R94" s="21" t="s">
        <v>747</v>
      </c>
      <c r="S94" s="22" t="s">
        <v>59</v>
      </c>
      <c r="T94" s="22" t="s">
        <v>60</v>
      </c>
      <c r="U94" s="23" t="s">
        <v>61</v>
      </c>
      <c r="V94" s="23" t="s">
        <v>62</v>
      </c>
      <c r="W94" s="24"/>
      <c r="X94" s="25">
        <f t="shared" si="17"/>
        <v>16</v>
      </c>
      <c r="Y94" s="23" t="s">
        <v>63</v>
      </c>
      <c r="Z94" s="23" t="s">
        <v>62</v>
      </c>
      <c r="AA94" s="23"/>
      <c r="AB94" s="23" t="s">
        <v>64</v>
      </c>
      <c r="AD94" s="19" t="s">
        <v>745</v>
      </c>
      <c r="AE94" s="1" t="str">
        <f t="shared" si="18"/>
        <v>北海道白老郡白老町末広町4丁目10-7</v>
      </c>
      <c r="AF94" s="1" t="s">
        <v>747</v>
      </c>
      <c r="AG94" s="1" t="s">
        <v>746</v>
      </c>
      <c r="AH94" s="1" t="s">
        <v>176</v>
      </c>
      <c r="AI94" s="1" t="str">
        <f t="shared" si="19"/>
        <v> 東京都品川区平塚1-13-1</v>
      </c>
      <c r="AJ94" s="1" t="s">
        <v>177</v>
      </c>
      <c r="AK94" s="26" t="s">
        <v>67</v>
      </c>
      <c r="AL94" s="26">
        <v>1</v>
      </c>
      <c r="AM94" s="19" t="str">
        <f ca="1" t="shared" si="20"/>
        <v>PJP001</v>
      </c>
      <c r="AN94" s="1" t="str">
        <f ca="1" t="shared" si="21"/>
        <v/>
      </c>
      <c r="AU94" s="1" t="s">
        <v>115</v>
      </c>
      <c r="AV94" s="1" t="s">
        <v>748</v>
      </c>
      <c r="AW94" s="1" t="s">
        <v>749</v>
      </c>
      <c r="AX94" s="1" t="s">
        <v>750</v>
      </c>
      <c r="AY94" s="1" t="s">
        <v>72</v>
      </c>
      <c r="AZ94" s="1">
        <v>16.8</v>
      </c>
      <c r="BA94" s="1" t="s">
        <v>180</v>
      </c>
      <c r="BB94" s="1"/>
      <c r="BC94" s="1"/>
      <c r="BD94" s="1"/>
    </row>
    <row r="95" ht="33" customHeight="1" spans="1:56">
      <c r="A95" s="13" t="s">
        <v>53</v>
      </c>
      <c r="B95" s="14"/>
      <c r="C95" s="15" t="s">
        <v>751</v>
      </c>
      <c r="D95" s="15" t="s">
        <v>751</v>
      </c>
      <c r="E95" s="1">
        <v>1</v>
      </c>
      <c r="F95" s="3">
        <v>3.76</v>
      </c>
      <c r="G95" s="1" t="s">
        <v>55</v>
      </c>
      <c r="H95" s="16" t="str">
        <f t="shared" si="11"/>
        <v>PLASTIC TOYS</v>
      </c>
      <c r="I95" s="16" t="str">
        <f t="shared" si="12"/>
        <v>ABS</v>
      </c>
      <c r="J95" s="16" t="s">
        <v>571</v>
      </c>
      <c r="K95" s="17" t="str">
        <f t="shared" si="13"/>
        <v>安达翔</v>
      </c>
      <c r="L95" s="17"/>
      <c r="M95" s="18" t="str">
        <f t="shared" si="14"/>
        <v>埼玉県狭山市大字水野５０７－１</v>
      </c>
      <c r="N95" s="19" t="str">
        <f t="shared" si="15"/>
        <v>埼玉県狭山市大字水野５０７－１</v>
      </c>
      <c r="O95" s="20" t="str">
        <f>MID(N95,MIN(IFERROR(FIND({0,1,2,3,4,5,6,7,8,9},N95),LEN(N95)+1)),LEN(N95))</f>
        <v/>
      </c>
      <c r="P95" s="20" t="str">
        <f t="shared" si="16"/>
        <v> </v>
      </c>
      <c r="Q95" s="19" t="s">
        <v>572</v>
      </c>
      <c r="R95" s="21" t="s">
        <v>573</v>
      </c>
      <c r="S95" s="22" t="s">
        <v>59</v>
      </c>
      <c r="T95" s="22" t="s">
        <v>60</v>
      </c>
      <c r="U95" s="23" t="s">
        <v>61</v>
      </c>
      <c r="V95" s="23" t="s">
        <v>62</v>
      </c>
      <c r="W95" s="24"/>
      <c r="X95" s="25">
        <f t="shared" si="17"/>
        <v>12</v>
      </c>
      <c r="Y95" s="23" t="s">
        <v>63</v>
      </c>
      <c r="Z95" s="23" t="s">
        <v>62</v>
      </c>
      <c r="AA95" s="23"/>
      <c r="AB95" s="23" t="s">
        <v>64</v>
      </c>
      <c r="AD95" s="19" t="s">
        <v>571</v>
      </c>
      <c r="AE95" s="1" t="str">
        <f t="shared" si="18"/>
        <v>埼玉県狭山市大字水野５０７－１</v>
      </c>
      <c r="AF95" s="1" t="s">
        <v>573</v>
      </c>
      <c r="AG95" s="1" t="s">
        <v>572</v>
      </c>
      <c r="AH95" s="1"/>
      <c r="AI95" s="1" t="str">
        <f t="shared" si="19"/>
        <v> </v>
      </c>
      <c r="AJ95" s="1" t="s">
        <v>91</v>
      </c>
      <c r="AK95" s="26" t="s">
        <v>67</v>
      </c>
      <c r="AL95" s="26">
        <v>1</v>
      </c>
      <c r="AM95" s="19" t="str">
        <f ca="1" t="shared" si="20"/>
        <v>JCNZZZ</v>
      </c>
      <c r="AN95" s="1" t="str">
        <f ca="1" t="shared" si="21"/>
        <v>ALIBABA</v>
      </c>
      <c r="AU95" s="1"/>
      <c r="AV95" s="1"/>
      <c r="AW95" s="1" t="s">
        <v>574</v>
      </c>
      <c r="AX95" s="1" t="s">
        <v>310</v>
      </c>
      <c r="AY95" s="1" t="s">
        <v>72</v>
      </c>
      <c r="AZ95" s="1">
        <v>12.8</v>
      </c>
      <c r="BA95" s="1" t="s">
        <v>91</v>
      </c>
      <c r="BB95" s="1"/>
      <c r="BC95" s="1"/>
      <c r="BD95" s="1"/>
    </row>
    <row r="96" ht="33" customHeight="1" spans="1:56">
      <c r="A96" s="13" t="s">
        <v>53</v>
      </c>
      <c r="B96" s="14"/>
      <c r="C96" s="15" t="s">
        <v>752</v>
      </c>
      <c r="D96" s="15" t="s">
        <v>752</v>
      </c>
      <c r="E96" s="1">
        <v>1</v>
      </c>
      <c r="F96" s="3">
        <v>1.96</v>
      </c>
      <c r="G96" s="1" t="s">
        <v>55</v>
      </c>
      <c r="H96" s="16" t="str">
        <f t="shared" si="11"/>
        <v>STORAGE BAG</v>
      </c>
      <c r="I96" s="16" t="str">
        <f t="shared" si="12"/>
        <v>POLYESTER</v>
      </c>
      <c r="J96" s="16" t="s">
        <v>753</v>
      </c>
      <c r="K96" s="17" t="str">
        <f t="shared" si="13"/>
        <v>長井 千晶 [ナガイ チアキ]</v>
      </c>
      <c r="L96" s="17"/>
      <c r="M96" s="18" t="str">
        <f t="shared" si="14"/>
        <v>徳島県吉野川市鴨島町上下島字野神ノ元125-1 五九郎ビル2F</v>
      </c>
      <c r="N96" s="19" t="str">
        <f t="shared" si="15"/>
        <v>徳島県吉野川市鴨島町上下島字野神ノ元125-1 五九郎ビル2F</v>
      </c>
      <c r="O96" s="20" t="str">
        <f>MID(N96,MIN(IFERROR(FIND({0,1,2,3,4,5,6,7,8,9},N96),LEN(N96)+1)),LEN(N96))</f>
        <v>125-1 五九郎ビル2F</v>
      </c>
      <c r="P96" s="20" t="str">
        <f t="shared" si="16"/>
        <v> 125-1 五九郎ビル2F</v>
      </c>
      <c r="Q96" s="19" t="s">
        <v>754</v>
      </c>
      <c r="R96" s="21" t="s">
        <v>755</v>
      </c>
      <c r="S96" s="22" t="s">
        <v>59</v>
      </c>
      <c r="T96" s="22" t="s">
        <v>60</v>
      </c>
      <c r="U96" s="23" t="s">
        <v>61</v>
      </c>
      <c r="V96" s="23" t="s">
        <v>62</v>
      </c>
      <c r="W96" s="24"/>
      <c r="X96" s="25">
        <f t="shared" si="17"/>
        <v>13</v>
      </c>
      <c r="Y96" s="23" t="s">
        <v>63</v>
      </c>
      <c r="Z96" s="23" t="s">
        <v>62</v>
      </c>
      <c r="AA96" s="23"/>
      <c r="AB96" s="23" t="s">
        <v>64</v>
      </c>
      <c r="AD96" s="19" t="s">
        <v>753</v>
      </c>
      <c r="AE96" s="1" t="str">
        <f t="shared" si="18"/>
        <v>徳島県吉野川市鴨島町上下島字野神ノ元125-1 五九郎ビル2F</v>
      </c>
      <c r="AF96" s="1" t="s">
        <v>755</v>
      </c>
      <c r="AG96" s="1" t="s">
        <v>754</v>
      </c>
      <c r="AH96" s="1" t="s">
        <v>683</v>
      </c>
      <c r="AI96" s="1" t="str">
        <f t="shared" si="19"/>
        <v> 西成区北津守４－１３－４３</v>
      </c>
      <c r="AJ96" s="1" t="s">
        <v>684</v>
      </c>
      <c r="AK96" s="26" t="s">
        <v>67</v>
      </c>
      <c r="AL96" s="26">
        <v>1</v>
      </c>
      <c r="AM96" s="19" t="str">
        <f ca="1" t="shared" si="20"/>
        <v>PJP001</v>
      </c>
      <c r="AN96" s="1" t="str">
        <f ca="1" t="shared" si="21"/>
        <v/>
      </c>
      <c r="AU96" s="1" t="s">
        <v>756</v>
      </c>
      <c r="AV96" s="1" t="s">
        <v>757</v>
      </c>
      <c r="AW96" s="1" t="s">
        <v>758</v>
      </c>
      <c r="AX96" s="1" t="s">
        <v>759</v>
      </c>
      <c r="AY96" s="1" t="s">
        <v>279</v>
      </c>
      <c r="AZ96" s="1">
        <v>13</v>
      </c>
      <c r="BA96" s="1" t="s">
        <v>688</v>
      </c>
      <c r="BB96" s="1"/>
      <c r="BC96" s="1"/>
      <c r="BD96" s="1"/>
    </row>
    <row r="97" ht="33" customHeight="1" spans="1:56">
      <c r="A97" s="13" t="s">
        <v>53</v>
      </c>
      <c r="B97" s="14"/>
      <c r="C97" s="15" t="s">
        <v>760</v>
      </c>
      <c r="D97" s="15" t="s">
        <v>760</v>
      </c>
      <c r="E97" s="1">
        <v>1</v>
      </c>
      <c r="F97" s="3">
        <v>0.83</v>
      </c>
      <c r="G97" s="1" t="s">
        <v>55</v>
      </c>
      <c r="H97" s="16" t="str">
        <f t="shared" si="11"/>
        <v>BAG,TOY</v>
      </c>
      <c r="I97" s="16" t="str">
        <f t="shared" si="12"/>
        <v>PLASTIC</v>
      </c>
      <c r="J97" s="16" t="s">
        <v>761</v>
      </c>
      <c r="K97" s="17" t="str">
        <f t="shared" si="13"/>
        <v>道用 明日香 [ドウヨウ アスカ]</v>
      </c>
      <c r="L97" s="17"/>
      <c r="M97" s="18" t="str">
        <f t="shared" si="14"/>
        <v>大阪府吹田市桃山台2-3-8 アンビエラ桃山台208</v>
      </c>
      <c r="N97" s="19" t="str">
        <f t="shared" si="15"/>
        <v>大阪府吹田市桃山台2-3-8 アンビエラ桃山台208</v>
      </c>
      <c r="O97" s="20" t="str">
        <f>MID(N97,MIN(IFERROR(FIND({0,1,2,3,4,5,6,7,8,9},N97),LEN(N97)+1)),LEN(N97))</f>
        <v>2-3-8 アンビエラ桃山台208</v>
      </c>
      <c r="P97" s="20" t="str">
        <f t="shared" si="16"/>
        <v> 2-3-8 アンビエラ桃山台208</v>
      </c>
      <c r="Q97" s="19" t="s">
        <v>762</v>
      </c>
      <c r="R97" s="21" t="s">
        <v>763</v>
      </c>
      <c r="S97" s="22" t="s">
        <v>59</v>
      </c>
      <c r="T97" s="22" t="s">
        <v>60</v>
      </c>
      <c r="U97" s="23" t="s">
        <v>61</v>
      </c>
      <c r="V97" s="23" t="s">
        <v>62</v>
      </c>
      <c r="W97" s="24"/>
      <c r="X97" s="25">
        <f t="shared" si="17"/>
        <v>4</v>
      </c>
      <c r="Y97" s="23" t="s">
        <v>63</v>
      </c>
      <c r="Z97" s="23" t="s">
        <v>62</v>
      </c>
      <c r="AA97" s="23"/>
      <c r="AB97" s="23" t="s">
        <v>64</v>
      </c>
      <c r="AD97" s="19" t="s">
        <v>761</v>
      </c>
      <c r="AE97" s="1" t="str">
        <f t="shared" si="18"/>
        <v>大阪府吹田市桃山台2-3-8 アンビエラ桃山台208</v>
      </c>
      <c r="AF97" s="1" t="s">
        <v>763</v>
      </c>
      <c r="AG97" s="1" t="s">
        <v>762</v>
      </c>
      <c r="AH97" s="1" t="s">
        <v>581</v>
      </c>
      <c r="AI97" s="1" t="str">
        <f t="shared" si="19"/>
        <v> 大阪府大阪市東住吉区住道矢田七丁目１０番１３号</v>
      </c>
      <c r="AJ97" s="1" t="s">
        <v>582</v>
      </c>
      <c r="AK97" s="26" t="s">
        <v>67</v>
      </c>
      <c r="AL97" s="26">
        <v>1</v>
      </c>
      <c r="AM97" s="19" t="str">
        <f ca="1" t="shared" si="20"/>
        <v>PJP001</v>
      </c>
      <c r="AN97" s="1" t="str">
        <f ca="1" t="shared" si="21"/>
        <v/>
      </c>
      <c r="AU97" s="1" t="s">
        <v>206</v>
      </c>
      <c r="AV97" s="1" t="s">
        <v>764</v>
      </c>
      <c r="AW97" s="1" t="s">
        <v>765</v>
      </c>
      <c r="AX97" s="1" t="s">
        <v>766</v>
      </c>
      <c r="AY97" s="1" t="s">
        <v>94</v>
      </c>
      <c r="AZ97" s="1">
        <v>4.65</v>
      </c>
      <c r="BA97" s="1" t="s">
        <v>588</v>
      </c>
      <c r="BB97" s="1"/>
      <c r="BC97" s="1"/>
      <c r="BD97" s="1"/>
    </row>
    <row r="98" ht="33" customHeight="1" spans="1:56">
      <c r="A98" s="13" t="s">
        <v>53</v>
      </c>
      <c r="B98" s="14"/>
      <c r="C98" s="15" t="s">
        <v>767</v>
      </c>
      <c r="D98" s="15" t="s">
        <v>767</v>
      </c>
      <c r="E98" s="1">
        <v>1</v>
      </c>
      <c r="F98" s="3">
        <v>1.81</v>
      </c>
      <c r="G98" s="1" t="s">
        <v>55</v>
      </c>
      <c r="H98" s="16" t="str">
        <f t="shared" si="11"/>
        <v>TOWEL,BAG,TOY</v>
      </c>
      <c r="I98" s="16" t="str">
        <f t="shared" si="12"/>
        <v>TOY</v>
      </c>
      <c r="J98" s="16" t="s">
        <v>768</v>
      </c>
      <c r="K98" s="17" t="str">
        <f t="shared" si="13"/>
        <v>小川 容江 [オガワ ヨウコ]</v>
      </c>
      <c r="L98" s="17"/>
      <c r="M98" s="18" t="str">
        <f t="shared" si="14"/>
        <v>鹿児島県鹿児島市松陽台町40番地県営住宅松陽台団地34棟104</v>
      </c>
      <c r="N98" s="19" t="str">
        <f t="shared" si="15"/>
        <v>鹿児島県鹿児島市松陽台町40番地県営住宅松陽台団地34棟104</v>
      </c>
      <c r="O98" s="20" t="str">
        <f>MID(N98,MIN(IFERROR(FIND({0,1,2,3,4,5,6,7,8,9},N98),LEN(N98)+1)),LEN(N98))</f>
        <v>40番地県営住宅松陽台団地34棟104</v>
      </c>
      <c r="P98" s="20" t="str">
        <f t="shared" si="16"/>
        <v> 40番地県営住宅松陽台団地34棟104</v>
      </c>
      <c r="Q98" s="19" t="s">
        <v>769</v>
      </c>
      <c r="R98" s="21" t="s">
        <v>770</v>
      </c>
      <c r="S98" s="22" t="s">
        <v>59</v>
      </c>
      <c r="T98" s="22" t="s">
        <v>60</v>
      </c>
      <c r="U98" s="23" t="s">
        <v>61</v>
      </c>
      <c r="V98" s="23" t="s">
        <v>62</v>
      </c>
      <c r="W98" s="24"/>
      <c r="X98" s="25">
        <f t="shared" si="17"/>
        <v>9</v>
      </c>
      <c r="Y98" s="23" t="s">
        <v>63</v>
      </c>
      <c r="Z98" s="23" t="s">
        <v>62</v>
      </c>
      <c r="AA98" s="23"/>
      <c r="AB98" s="23" t="s">
        <v>64</v>
      </c>
      <c r="AD98" s="19" t="s">
        <v>768</v>
      </c>
      <c r="AE98" s="1" t="str">
        <f t="shared" si="18"/>
        <v>鹿児島県鹿児島市松陽台町40番地県営住宅松陽台団地34棟104</v>
      </c>
      <c r="AF98" s="1" t="s">
        <v>770</v>
      </c>
      <c r="AG98" s="1" t="s">
        <v>769</v>
      </c>
      <c r="AH98" s="1" t="s">
        <v>771</v>
      </c>
      <c r="AI98" s="1" t="str">
        <f t="shared" si="19"/>
        <v> 和歌山県和歌山市西釘貫丁２－５３プレミール石川５０２</v>
      </c>
      <c r="AJ98" s="1" t="s">
        <v>772</v>
      </c>
      <c r="AK98" s="26" t="s">
        <v>67</v>
      </c>
      <c r="AL98" s="26">
        <v>1</v>
      </c>
      <c r="AM98" s="19" t="str">
        <f ca="1" t="shared" si="20"/>
        <v>PJP001</v>
      </c>
      <c r="AN98" s="1" t="str">
        <f ca="1" t="shared" si="21"/>
        <v/>
      </c>
      <c r="AU98" s="1" t="s">
        <v>773</v>
      </c>
      <c r="AV98" s="1" t="s">
        <v>774</v>
      </c>
      <c r="AW98" s="1" t="s">
        <v>775</v>
      </c>
      <c r="AX98" s="1" t="s">
        <v>776</v>
      </c>
      <c r="AY98" s="1" t="s">
        <v>473</v>
      </c>
      <c r="AZ98" s="1">
        <v>9</v>
      </c>
      <c r="BA98" s="1" t="s">
        <v>777</v>
      </c>
      <c r="BB98" s="1"/>
      <c r="BC98" s="1"/>
      <c r="BD98" s="1"/>
    </row>
    <row r="99" ht="33" customHeight="1" spans="1:56">
      <c r="A99" s="13" t="s">
        <v>53</v>
      </c>
      <c r="B99" s="14"/>
      <c r="C99" s="15" t="s">
        <v>778</v>
      </c>
      <c r="D99" s="15" t="s">
        <v>778</v>
      </c>
      <c r="E99" s="1">
        <v>1</v>
      </c>
      <c r="F99" s="3">
        <v>1.5</v>
      </c>
      <c r="G99" s="1" t="s">
        <v>55</v>
      </c>
      <c r="H99" s="16" t="str">
        <f t="shared" si="11"/>
        <v>PEN BOX</v>
      </c>
      <c r="I99" s="16" t="str">
        <f t="shared" si="12"/>
        <v>ABS</v>
      </c>
      <c r="J99" s="16" t="s">
        <v>779</v>
      </c>
      <c r="K99" s="17" t="str">
        <f t="shared" si="13"/>
        <v>田野 宏一 [タノ ヒロカズ]</v>
      </c>
      <c r="L99" s="17"/>
      <c r="M99" s="18" t="str">
        <f t="shared" si="14"/>
        <v>埼玉県さいたま市岩槻区加倉 4-12-3</v>
      </c>
      <c r="N99" s="19" t="str">
        <f t="shared" si="15"/>
        <v>埼玉県さいたま市岩槻区加倉 4-12-3</v>
      </c>
      <c r="O99" s="20" t="str">
        <f>MID(N99,MIN(IFERROR(FIND({0,1,2,3,4,5,6,7,8,9},N99),LEN(N99)+1)),LEN(N99))</f>
        <v>4-12-3</v>
      </c>
      <c r="P99" s="20" t="str">
        <f t="shared" si="16"/>
        <v> 4-12-3</v>
      </c>
      <c r="Q99" s="19" t="s">
        <v>780</v>
      </c>
      <c r="R99" s="21" t="s">
        <v>781</v>
      </c>
      <c r="S99" s="22" t="s">
        <v>59</v>
      </c>
      <c r="T99" s="22" t="s">
        <v>60</v>
      </c>
      <c r="U99" s="23" t="s">
        <v>61</v>
      </c>
      <c r="V99" s="23" t="s">
        <v>62</v>
      </c>
      <c r="W99" s="24"/>
      <c r="X99" s="25">
        <f t="shared" si="17"/>
        <v>13</v>
      </c>
      <c r="Y99" s="23" t="s">
        <v>63</v>
      </c>
      <c r="Z99" s="23" t="s">
        <v>62</v>
      </c>
      <c r="AA99" s="23"/>
      <c r="AB99" s="23" t="s">
        <v>64</v>
      </c>
      <c r="AD99" s="19" t="s">
        <v>779</v>
      </c>
      <c r="AE99" s="1" t="str">
        <f t="shared" si="18"/>
        <v>埼玉県さいたま市岩槻区加倉 4-12-3</v>
      </c>
      <c r="AF99" s="1" t="s">
        <v>781</v>
      </c>
      <c r="AG99" s="1" t="s">
        <v>780</v>
      </c>
      <c r="AH99" s="1" t="s">
        <v>176</v>
      </c>
      <c r="AI99" s="1" t="str">
        <f t="shared" si="19"/>
        <v> 東京都品川区平塚1-13-1</v>
      </c>
      <c r="AJ99" s="1" t="s">
        <v>177</v>
      </c>
      <c r="AK99" s="26" t="s">
        <v>67</v>
      </c>
      <c r="AL99" s="26">
        <v>1</v>
      </c>
      <c r="AM99" s="19" t="str">
        <f ca="1" t="shared" si="20"/>
        <v>PJP001</v>
      </c>
      <c r="AN99" s="1" t="str">
        <f ca="1" t="shared" si="21"/>
        <v/>
      </c>
      <c r="AU99" s="1" t="s">
        <v>265</v>
      </c>
      <c r="AV99" s="1" t="s">
        <v>782</v>
      </c>
      <c r="AW99" s="1" t="s">
        <v>783</v>
      </c>
      <c r="AX99" s="1" t="s">
        <v>784</v>
      </c>
      <c r="AY99" s="1" t="s">
        <v>72</v>
      </c>
      <c r="AZ99" s="1">
        <v>13.5</v>
      </c>
      <c r="BA99" s="1" t="s">
        <v>180</v>
      </c>
      <c r="BB99" s="1"/>
      <c r="BC99" s="1"/>
      <c r="BD99" s="1"/>
    </row>
    <row r="100" ht="33" customHeight="1" spans="1:56">
      <c r="A100" s="13" t="s">
        <v>53</v>
      </c>
      <c r="B100" s="14"/>
      <c r="C100" s="15" t="s">
        <v>785</v>
      </c>
      <c r="D100" s="15" t="s">
        <v>785</v>
      </c>
      <c r="E100" s="1">
        <v>1</v>
      </c>
      <c r="F100" s="3">
        <v>3.54</v>
      </c>
      <c r="G100" s="1" t="s">
        <v>55</v>
      </c>
      <c r="H100" s="16" t="str">
        <f t="shared" si="11"/>
        <v>PLASTIC TOYS</v>
      </c>
      <c r="I100" s="16" t="str">
        <f t="shared" si="12"/>
        <v>ABS</v>
      </c>
      <c r="J100" s="16" t="s">
        <v>571</v>
      </c>
      <c r="K100" s="17" t="str">
        <f t="shared" si="13"/>
        <v>安达翔</v>
      </c>
      <c r="L100" s="17"/>
      <c r="M100" s="18" t="str">
        <f t="shared" si="14"/>
        <v>埼玉県狭山市大字水野５０７－１</v>
      </c>
      <c r="N100" s="19" t="str">
        <f t="shared" si="15"/>
        <v>埼玉県狭山市大字水野５０７－１</v>
      </c>
      <c r="O100" s="20" t="str">
        <f>MID(N100,MIN(IFERROR(FIND({0,1,2,3,4,5,6,7,8,9},N100),LEN(N100)+1)),LEN(N100))</f>
        <v/>
      </c>
      <c r="P100" s="20" t="str">
        <f t="shared" si="16"/>
        <v> </v>
      </c>
      <c r="Q100" s="19" t="s">
        <v>572</v>
      </c>
      <c r="R100" s="21" t="s">
        <v>573</v>
      </c>
      <c r="S100" s="22" t="s">
        <v>59</v>
      </c>
      <c r="T100" s="22" t="s">
        <v>60</v>
      </c>
      <c r="U100" s="23" t="s">
        <v>61</v>
      </c>
      <c r="V100" s="23" t="s">
        <v>62</v>
      </c>
      <c r="W100" s="24"/>
      <c r="X100" s="25">
        <f t="shared" si="17"/>
        <v>12</v>
      </c>
      <c r="Y100" s="23" t="s">
        <v>63</v>
      </c>
      <c r="Z100" s="23" t="s">
        <v>62</v>
      </c>
      <c r="AA100" s="23"/>
      <c r="AB100" s="23" t="s">
        <v>64</v>
      </c>
      <c r="AD100" s="19" t="s">
        <v>571</v>
      </c>
      <c r="AE100" s="1" t="str">
        <f t="shared" si="18"/>
        <v>埼玉県狭山市大字水野５０７－１</v>
      </c>
      <c r="AF100" s="1" t="s">
        <v>573</v>
      </c>
      <c r="AG100" s="1" t="s">
        <v>572</v>
      </c>
      <c r="AH100" s="1"/>
      <c r="AI100" s="1" t="str">
        <f t="shared" si="19"/>
        <v> </v>
      </c>
      <c r="AJ100" s="1" t="s">
        <v>91</v>
      </c>
      <c r="AK100" s="26" t="s">
        <v>67</v>
      </c>
      <c r="AL100" s="26">
        <v>1</v>
      </c>
      <c r="AM100" s="19" t="str">
        <f ca="1" t="shared" si="20"/>
        <v>JCNZZZ</v>
      </c>
      <c r="AN100" s="1" t="str">
        <f ca="1" t="shared" si="21"/>
        <v>PingDduoDduo</v>
      </c>
      <c r="AU100" s="1"/>
      <c r="AV100" s="1"/>
      <c r="AW100" s="1" t="s">
        <v>574</v>
      </c>
      <c r="AX100" s="1" t="s">
        <v>310</v>
      </c>
      <c r="AY100" s="1" t="s">
        <v>72</v>
      </c>
      <c r="AZ100" s="1">
        <v>12.8</v>
      </c>
      <c r="BA100" s="1" t="s">
        <v>91</v>
      </c>
      <c r="BB100" s="1"/>
      <c r="BC100" s="1"/>
      <c r="BD100" s="1"/>
    </row>
    <row r="101" ht="33" customHeight="1" spans="1:56">
      <c r="A101" s="13" t="s">
        <v>53</v>
      </c>
      <c r="B101" s="14"/>
      <c r="C101" s="15" t="s">
        <v>786</v>
      </c>
      <c r="D101" s="15" t="s">
        <v>786</v>
      </c>
      <c r="E101" s="1">
        <v>1</v>
      </c>
      <c r="F101" s="3">
        <v>2.54</v>
      </c>
      <c r="G101" s="1" t="s">
        <v>55</v>
      </c>
      <c r="H101" s="16" t="str">
        <f t="shared" si="11"/>
        <v>MUSICAL INSTRUMENT TOYS</v>
      </c>
      <c r="I101" s="16" t="str">
        <f t="shared" si="12"/>
        <v>WOOD</v>
      </c>
      <c r="J101" s="16" t="s">
        <v>787</v>
      </c>
      <c r="K101" s="17" t="str">
        <f t="shared" si="13"/>
        <v>山碕 諒介 [ヤマザキ リョウスケ]</v>
      </c>
      <c r="L101" s="17"/>
      <c r="M101" s="18" t="str">
        <f t="shared" si="14"/>
        <v>兵庫県高砂市荒井町小松原3丁目13番10-5</v>
      </c>
      <c r="N101" s="19" t="str">
        <f t="shared" si="15"/>
        <v>兵庫県高砂市荒井町小松原3丁目13番10-5</v>
      </c>
      <c r="O101" s="20" t="str">
        <f>MID(N101,MIN(IFERROR(FIND({0,1,2,3,4,5,6,7,8,9},N101),LEN(N101)+1)),LEN(N101))</f>
        <v>3丁目13番10-5</v>
      </c>
      <c r="P101" s="20" t="str">
        <f t="shared" si="16"/>
        <v> 3丁目13番10-5</v>
      </c>
      <c r="Q101" s="19" t="s">
        <v>710</v>
      </c>
      <c r="R101" s="21" t="s">
        <v>788</v>
      </c>
      <c r="S101" s="22" t="s">
        <v>59</v>
      </c>
      <c r="T101" s="22" t="s">
        <v>60</v>
      </c>
      <c r="U101" s="23" t="s">
        <v>61</v>
      </c>
      <c r="V101" s="23" t="s">
        <v>62</v>
      </c>
      <c r="W101" s="24"/>
      <c r="X101" s="25">
        <f t="shared" si="17"/>
        <v>13</v>
      </c>
      <c r="Y101" s="23" t="s">
        <v>63</v>
      </c>
      <c r="Z101" s="23" t="s">
        <v>62</v>
      </c>
      <c r="AA101" s="23"/>
      <c r="AB101" s="23" t="s">
        <v>64</v>
      </c>
      <c r="AD101" s="19" t="s">
        <v>787</v>
      </c>
      <c r="AE101" s="1" t="str">
        <f t="shared" si="18"/>
        <v>兵庫県高砂市荒井町小松原3丁目13番10-5</v>
      </c>
      <c r="AF101" s="1" t="s">
        <v>788</v>
      </c>
      <c r="AG101" s="1" t="s">
        <v>710</v>
      </c>
      <c r="AH101" s="1" t="s">
        <v>581</v>
      </c>
      <c r="AI101" s="1" t="str">
        <f t="shared" si="19"/>
        <v> 大阪府大阪市東住吉区住道矢田七丁目１０番１３号</v>
      </c>
      <c r="AJ101" s="1" t="s">
        <v>582</v>
      </c>
      <c r="AK101" s="26" t="s">
        <v>67</v>
      </c>
      <c r="AL101" s="26">
        <v>1</v>
      </c>
      <c r="AM101" s="19" t="str">
        <f ca="1" t="shared" si="20"/>
        <v>PJP001</v>
      </c>
      <c r="AN101" s="1" t="str">
        <f ca="1" t="shared" si="21"/>
        <v/>
      </c>
      <c r="AU101" s="1" t="s">
        <v>664</v>
      </c>
      <c r="AV101" s="1" t="s">
        <v>712</v>
      </c>
      <c r="AW101" s="1" t="s">
        <v>789</v>
      </c>
      <c r="AX101" s="1" t="s">
        <v>790</v>
      </c>
      <c r="AY101" s="1" t="s">
        <v>791</v>
      </c>
      <c r="AZ101" s="1">
        <v>13</v>
      </c>
      <c r="BA101" s="1" t="s">
        <v>588</v>
      </c>
      <c r="BB101" s="1"/>
      <c r="BC101" s="1"/>
      <c r="BD101" s="1"/>
    </row>
    <row r="102" ht="33" customHeight="1" spans="1:56">
      <c r="A102" s="13" t="s">
        <v>53</v>
      </c>
      <c r="B102" s="14"/>
      <c r="C102" s="15" t="s">
        <v>792</v>
      </c>
      <c r="D102" s="15" t="s">
        <v>792</v>
      </c>
      <c r="E102" s="1">
        <v>1</v>
      </c>
      <c r="F102" s="3">
        <v>0.56</v>
      </c>
      <c r="G102" s="1" t="s">
        <v>55</v>
      </c>
      <c r="H102" s="16" t="str">
        <f t="shared" si="11"/>
        <v>PLASTIC TOYS</v>
      </c>
      <c r="I102" s="16" t="str">
        <f t="shared" si="12"/>
        <v>ABS</v>
      </c>
      <c r="J102" s="16" t="s">
        <v>793</v>
      </c>
      <c r="K102" s="17" t="str">
        <f t="shared" si="13"/>
        <v>藤原 励</v>
      </c>
      <c r="L102" s="17"/>
      <c r="M102" s="18" t="str">
        <f t="shared" si="14"/>
        <v>神奈川県横浜市神奈川区三ツ沢南町17-13-106</v>
      </c>
      <c r="N102" s="19" t="str">
        <f t="shared" si="15"/>
        <v>神奈川県横浜市神奈川区三ツ沢南町17-13-106</v>
      </c>
      <c r="O102" s="20" t="str">
        <f>MID(N102,MIN(IFERROR(FIND({0,1,2,3,4,5,6,7,8,9},N102),LEN(N102)+1)),LEN(N102))</f>
        <v>17-13-106</v>
      </c>
      <c r="P102" s="20" t="str">
        <f t="shared" si="16"/>
        <v> 17-13-106</v>
      </c>
      <c r="Q102" s="19" t="s">
        <v>794</v>
      </c>
      <c r="R102" s="21" t="s">
        <v>795</v>
      </c>
      <c r="S102" s="22" t="s">
        <v>59</v>
      </c>
      <c r="T102" s="22" t="s">
        <v>60</v>
      </c>
      <c r="U102" s="23" t="s">
        <v>61</v>
      </c>
      <c r="V102" s="23" t="s">
        <v>62</v>
      </c>
      <c r="W102" s="24"/>
      <c r="X102" s="25">
        <f t="shared" si="17"/>
        <v>13</v>
      </c>
      <c r="Y102" s="23" t="s">
        <v>63</v>
      </c>
      <c r="Z102" s="23" t="s">
        <v>62</v>
      </c>
      <c r="AA102" s="23"/>
      <c r="AB102" s="23" t="s">
        <v>64</v>
      </c>
      <c r="AD102" s="19" t="s">
        <v>793</v>
      </c>
      <c r="AE102" s="1" t="str">
        <f t="shared" si="18"/>
        <v>神奈川県横浜市神奈川区三ツ沢南町17-13-106</v>
      </c>
      <c r="AF102" s="1" t="s">
        <v>795</v>
      </c>
      <c r="AG102" s="1" t="s">
        <v>794</v>
      </c>
      <c r="AH102" s="1"/>
      <c r="AI102" s="1" t="str">
        <f t="shared" si="19"/>
        <v> </v>
      </c>
      <c r="AJ102" s="1" t="s">
        <v>91</v>
      </c>
      <c r="AK102" s="26" t="s">
        <v>67</v>
      </c>
      <c r="AL102" s="26">
        <v>1</v>
      </c>
      <c r="AM102" s="19" t="str">
        <f ca="1" t="shared" si="20"/>
        <v>JCNZZZ</v>
      </c>
      <c r="AN102" s="1" t="str">
        <f ca="1" t="shared" si="21"/>
        <v>ALIBABA</v>
      </c>
      <c r="AU102" s="1"/>
      <c r="AV102" s="1"/>
      <c r="AW102" s="1" t="s">
        <v>796</v>
      </c>
      <c r="AX102" s="1" t="s">
        <v>310</v>
      </c>
      <c r="AY102" s="1" t="s">
        <v>72</v>
      </c>
      <c r="AZ102" s="1">
        <v>13.5</v>
      </c>
      <c r="BA102" s="1" t="s">
        <v>91</v>
      </c>
      <c r="BB102" s="1"/>
      <c r="BC102" s="1"/>
      <c r="BD102" s="1"/>
    </row>
    <row r="103" ht="33" customHeight="1" spans="1:56">
      <c r="A103" s="13" t="s">
        <v>53</v>
      </c>
      <c r="B103" s="14"/>
      <c r="C103" s="15" t="s">
        <v>797</v>
      </c>
      <c r="D103" s="15" t="s">
        <v>797</v>
      </c>
      <c r="E103" s="1">
        <v>1</v>
      </c>
      <c r="F103" s="3">
        <v>3.63</v>
      </c>
      <c r="G103" s="1" t="s">
        <v>55</v>
      </c>
      <c r="H103" s="16" t="str">
        <f t="shared" si="11"/>
        <v>PLASTIC TOYS</v>
      </c>
      <c r="I103" s="16" t="str">
        <f t="shared" si="12"/>
        <v>ABS</v>
      </c>
      <c r="J103" s="16" t="s">
        <v>798</v>
      </c>
      <c r="K103" s="17" t="str">
        <f t="shared" si="13"/>
        <v>AYAKO UEHARA</v>
      </c>
      <c r="L103" s="17"/>
      <c r="M103" s="18" t="str">
        <f t="shared" si="14"/>
        <v>静岡県伊東市吉田79-5</v>
      </c>
      <c r="N103" s="19" t="str">
        <f t="shared" si="15"/>
        <v>静岡県伊東市吉田79-5</v>
      </c>
      <c r="O103" s="20" t="str">
        <f>MID(N103,MIN(IFERROR(FIND({0,1,2,3,4,5,6,7,8,9},N103),LEN(N103)+1)),LEN(N103))</f>
        <v>79-5</v>
      </c>
      <c r="P103" s="20" t="str">
        <f t="shared" si="16"/>
        <v> 79-5</v>
      </c>
      <c r="Q103" s="19" t="s">
        <v>799</v>
      </c>
      <c r="R103" s="21" t="s">
        <v>800</v>
      </c>
      <c r="S103" s="22" t="s">
        <v>59</v>
      </c>
      <c r="T103" s="22" t="s">
        <v>60</v>
      </c>
      <c r="U103" s="23" t="s">
        <v>61</v>
      </c>
      <c r="V103" s="23" t="s">
        <v>62</v>
      </c>
      <c r="W103" s="24"/>
      <c r="X103" s="25">
        <f t="shared" si="17"/>
        <v>12</v>
      </c>
      <c r="Y103" s="23" t="s">
        <v>63</v>
      </c>
      <c r="Z103" s="23" t="s">
        <v>62</v>
      </c>
      <c r="AA103" s="23"/>
      <c r="AB103" s="23" t="s">
        <v>64</v>
      </c>
      <c r="AD103" s="19" t="s">
        <v>798</v>
      </c>
      <c r="AE103" s="1" t="str">
        <f t="shared" si="18"/>
        <v>静岡県伊東市吉田79-5</v>
      </c>
      <c r="AF103" s="1" t="s">
        <v>800</v>
      </c>
      <c r="AG103" s="1" t="s">
        <v>799</v>
      </c>
      <c r="AH103" s="1"/>
      <c r="AI103" s="1" t="str">
        <f t="shared" si="19"/>
        <v> </v>
      </c>
      <c r="AJ103" s="1" t="s">
        <v>91</v>
      </c>
      <c r="AK103" s="26" t="s">
        <v>67</v>
      </c>
      <c r="AL103" s="26">
        <v>1</v>
      </c>
      <c r="AM103" s="19" t="str">
        <f ca="1" t="shared" si="20"/>
        <v>JCNZZZ</v>
      </c>
      <c r="AN103" s="1" t="str">
        <f ca="1" t="shared" si="21"/>
        <v>ALIBABA</v>
      </c>
      <c r="AU103" s="1"/>
      <c r="AV103" s="1"/>
      <c r="AW103" s="1" t="s">
        <v>801</v>
      </c>
      <c r="AX103" s="1" t="s">
        <v>310</v>
      </c>
      <c r="AY103" s="1" t="s">
        <v>72</v>
      </c>
      <c r="AZ103" s="1">
        <v>12.8</v>
      </c>
      <c r="BA103" s="1" t="s">
        <v>91</v>
      </c>
      <c r="BB103" s="1"/>
      <c r="BC103" s="1"/>
      <c r="BD103" s="1"/>
    </row>
    <row r="104" ht="33" customHeight="1" spans="1:56">
      <c r="A104" s="13" t="s">
        <v>53</v>
      </c>
      <c r="B104" s="14"/>
      <c r="C104" s="15" t="s">
        <v>802</v>
      </c>
      <c r="D104" s="15" t="s">
        <v>802</v>
      </c>
      <c r="E104" s="1">
        <v>1</v>
      </c>
      <c r="F104" s="3">
        <v>1.79</v>
      </c>
      <c r="G104" s="1" t="s">
        <v>55</v>
      </c>
      <c r="H104" s="16" t="str">
        <f t="shared" si="11"/>
        <v>BINOCULARS</v>
      </c>
      <c r="I104" s="16" t="str">
        <f t="shared" si="12"/>
        <v>ABS</v>
      </c>
      <c r="J104" s="16" t="s">
        <v>803</v>
      </c>
      <c r="K104" s="17" t="str">
        <f t="shared" si="13"/>
        <v>日紫喜 隆 [ヒシキ タカシ]</v>
      </c>
      <c r="L104" s="17"/>
      <c r="M104" s="18" t="str">
        <f t="shared" si="14"/>
        <v>大阪府吹田市五月が丘東6-B-1307</v>
      </c>
      <c r="N104" s="19" t="str">
        <f t="shared" si="15"/>
        <v>大阪府吹田市五月が丘東6-B-1307</v>
      </c>
      <c r="O104" s="20" t="str">
        <f>MID(N104,MIN(IFERROR(FIND({0,1,2,3,4,5,6,7,8,9},N104),LEN(N104)+1)),LEN(N104))</f>
        <v>6-B-1307</v>
      </c>
      <c r="P104" s="20" t="str">
        <f t="shared" si="16"/>
        <v> 6-B-1307</v>
      </c>
      <c r="Q104" s="19" t="s">
        <v>804</v>
      </c>
      <c r="R104" s="21" t="s">
        <v>805</v>
      </c>
      <c r="S104" s="22" t="s">
        <v>59</v>
      </c>
      <c r="T104" s="22" t="s">
        <v>60</v>
      </c>
      <c r="U104" s="23" t="s">
        <v>61</v>
      </c>
      <c r="V104" s="23" t="s">
        <v>62</v>
      </c>
      <c r="W104" s="24"/>
      <c r="X104" s="25">
        <f t="shared" si="17"/>
        <v>10</v>
      </c>
      <c r="Y104" s="23" t="s">
        <v>63</v>
      </c>
      <c r="Z104" s="23" t="s">
        <v>62</v>
      </c>
      <c r="AA104" s="23"/>
      <c r="AB104" s="23" t="s">
        <v>64</v>
      </c>
      <c r="AD104" s="19" t="s">
        <v>803</v>
      </c>
      <c r="AE104" s="1" t="str">
        <f t="shared" si="18"/>
        <v>大阪府吹田市五月が丘東6-B-1307</v>
      </c>
      <c r="AF104" s="1" t="s">
        <v>805</v>
      </c>
      <c r="AG104" s="1" t="s">
        <v>804</v>
      </c>
      <c r="AH104" s="1" t="s">
        <v>342</v>
      </c>
      <c r="AI104" s="1" t="str">
        <f t="shared" si="19"/>
        <v> 中央区内本町2‐3‐8　ダイアパレスビル本町 1006ミズイシテクノロジー</v>
      </c>
      <c r="AJ104" s="1" t="s">
        <v>343</v>
      </c>
      <c r="AK104" s="26" t="s">
        <v>67</v>
      </c>
      <c r="AL104" s="26">
        <v>1</v>
      </c>
      <c r="AM104" s="19" t="str">
        <f ca="1" t="shared" si="20"/>
        <v>PJP001</v>
      </c>
      <c r="AN104" s="1" t="str">
        <f ca="1" t="shared" si="21"/>
        <v/>
      </c>
      <c r="AU104" s="1" t="s">
        <v>206</v>
      </c>
      <c r="AV104" s="1" t="s">
        <v>764</v>
      </c>
      <c r="AW104" s="1" t="s">
        <v>806</v>
      </c>
      <c r="AX104" s="1" t="s">
        <v>807</v>
      </c>
      <c r="AY104" s="1" t="s">
        <v>72</v>
      </c>
      <c r="AZ104" s="1">
        <v>10.6</v>
      </c>
      <c r="BA104" s="1" t="s">
        <v>347</v>
      </c>
      <c r="BB104" s="1"/>
      <c r="BC104" s="1"/>
      <c r="BD104" s="1"/>
    </row>
    <row r="105" ht="33" customHeight="1" spans="1:56">
      <c r="A105" s="13" t="s">
        <v>53</v>
      </c>
      <c r="B105" s="14"/>
      <c r="C105" s="15" t="s">
        <v>808</v>
      </c>
      <c r="D105" s="15" t="s">
        <v>808</v>
      </c>
      <c r="E105" s="1">
        <v>1</v>
      </c>
      <c r="F105" s="3">
        <v>1.6</v>
      </c>
      <c r="G105" s="1" t="s">
        <v>55</v>
      </c>
      <c r="H105" s="16" t="str">
        <f t="shared" si="11"/>
        <v>DETECTOR</v>
      </c>
      <c r="I105" s="16" t="str">
        <f t="shared" si="12"/>
        <v>ABS</v>
      </c>
      <c r="J105" s="16" t="s">
        <v>809</v>
      </c>
      <c r="K105" s="17" t="str">
        <f t="shared" si="13"/>
        <v>とし内科 田中稔之 [トシナイカ タナカトシユキ]</v>
      </c>
      <c r="L105" s="17"/>
      <c r="M105" s="18" t="str">
        <f t="shared" si="14"/>
        <v>兵庫県揖保郡太子町東南344-6</v>
      </c>
      <c r="N105" s="19" t="str">
        <f t="shared" si="15"/>
        <v>兵庫県揖保郡太子町東南344-6</v>
      </c>
      <c r="O105" s="20" t="str">
        <f>MID(N105,MIN(IFERROR(FIND({0,1,2,3,4,5,6,7,8,9},N105),LEN(N105)+1)),LEN(N105))</f>
        <v>344-6</v>
      </c>
      <c r="P105" s="20" t="str">
        <f t="shared" si="16"/>
        <v> 344-6</v>
      </c>
      <c r="Q105" s="19" t="s">
        <v>810</v>
      </c>
      <c r="R105" s="21" t="s">
        <v>811</v>
      </c>
      <c r="S105" s="22" t="s">
        <v>59</v>
      </c>
      <c r="T105" s="22" t="s">
        <v>60</v>
      </c>
      <c r="U105" s="23" t="s">
        <v>61</v>
      </c>
      <c r="V105" s="23" t="s">
        <v>62</v>
      </c>
      <c r="W105" s="24"/>
      <c r="X105" s="25">
        <f t="shared" si="17"/>
        <v>17</v>
      </c>
      <c r="Y105" s="23" t="s">
        <v>63</v>
      </c>
      <c r="Z105" s="23" t="s">
        <v>62</v>
      </c>
      <c r="AA105" s="23"/>
      <c r="AB105" s="23" t="s">
        <v>64</v>
      </c>
      <c r="AD105" s="19" t="s">
        <v>809</v>
      </c>
      <c r="AE105" s="1" t="str">
        <f t="shared" si="18"/>
        <v>兵庫県揖保郡太子町東南344-6</v>
      </c>
      <c r="AF105" s="1" t="s">
        <v>811</v>
      </c>
      <c r="AG105" s="1" t="s">
        <v>810</v>
      </c>
      <c r="AH105" s="1" t="s">
        <v>632</v>
      </c>
      <c r="AI105" s="1" t="str">
        <f t="shared" si="19"/>
        <v> 中区大手町1-1-26-305大手町一番ビル</v>
      </c>
      <c r="AJ105" s="1" t="s">
        <v>633</v>
      </c>
      <c r="AK105" s="26" t="s">
        <v>67</v>
      </c>
      <c r="AL105" s="26">
        <v>1</v>
      </c>
      <c r="AM105" s="19" t="str">
        <f ca="1" t="shared" si="20"/>
        <v>PJP001</v>
      </c>
      <c r="AN105" s="1" t="str">
        <f ca="1" t="shared" si="21"/>
        <v/>
      </c>
      <c r="AU105" s="1" t="s">
        <v>664</v>
      </c>
      <c r="AV105" s="1" t="s">
        <v>812</v>
      </c>
      <c r="AW105" s="1" t="s">
        <v>813</v>
      </c>
      <c r="AX105" s="1" t="s">
        <v>814</v>
      </c>
      <c r="AY105" s="1" t="s">
        <v>72</v>
      </c>
      <c r="AZ105" s="1">
        <v>17.19</v>
      </c>
      <c r="BA105" s="1" t="s">
        <v>636</v>
      </c>
      <c r="BB105" s="1"/>
      <c r="BC105" s="1"/>
      <c r="BD105" s="1"/>
    </row>
    <row r="106" ht="33" customHeight="1" spans="1:56">
      <c r="A106" s="13" t="s">
        <v>53</v>
      </c>
      <c r="B106" s="14"/>
      <c r="C106" s="15" t="s">
        <v>815</v>
      </c>
      <c r="D106" s="15" t="s">
        <v>815</v>
      </c>
      <c r="E106" s="1">
        <v>1</v>
      </c>
      <c r="F106" s="3">
        <v>0.29</v>
      </c>
      <c r="G106" s="1" t="s">
        <v>55</v>
      </c>
      <c r="H106" s="16" t="str">
        <f t="shared" si="11"/>
        <v>FEVER SCARF</v>
      </c>
      <c r="I106" s="16" t="str">
        <f t="shared" si="12"/>
        <v>PU</v>
      </c>
      <c r="J106" s="16" t="s">
        <v>816</v>
      </c>
      <c r="K106" s="17" t="str">
        <f t="shared" si="13"/>
        <v>本間 美穂 [ホンマ ミホ]</v>
      </c>
      <c r="L106" s="17"/>
      <c r="M106" s="18" t="str">
        <f t="shared" si="14"/>
        <v>北海道釧路市美原四丁目5-18 美原四丁目宿舎 102号室</v>
      </c>
      <c r="N106" s="19" t="str">
        <f t="shared" si="15"/>
        <v>北海道釧路市美原四丁目5-18 美原四丁目宿舎 102号室</v>
      </c>
      <c r="O106" s="20" t="str">
        <f>MID(N106,MIN(IFERROR(FIND({0,1,2,3,4,5,6,7,8,9},N106),LEN(N106)+1)),LEN(N106))</f>
        <v>5-18 美原四丁目宿舎 102号室</v>
      </c>
      <c r="P106" s="20" t="str">
        <f t="shared" si="16"/>
        <v> 5-18 美原四丁目宿舎 102号室</v>
      </c>
      <c r="Q106" s="19" t="s">
        <v>817</v>
      </c>
      <c r="R106" s="21" t="s">
        <v>818</v>
      </c>
      <c r="S106" s="22" t="s">
        <v>59</v>
      </c>
      <c r="T106" s="22" t="s">
        <v>60</v>
      </c>
      <c r="U106" s="23" t="s">
        <v>61</v>
      </c>
      <c r="V106" s="23" t="s">
        <v>62</v>
      </c>
      <c r="W106" s="24"/>
      <c r="X106" s="25">
        <f t="shared" si="17"/>
        <v>15</v>
      </c>
      <c r="Y106" s="23" t="s">
        <v>63</v>
      </c>
      <c r="Z106" s="23" t="s">
        <v>62</v>
      </c>
      <c r="AA106" s="23"/>
      <c r="AB106" s="23" t="s">
        <v>64</v>
      </c>
      <c r="AD106" s="19" t="s">
        <v>816</v>
      </c>
      <c r="AE106" s="1" t="str">
        <f t="shared" si="18"/>
        <v>北海道釧路市美原四丁目5-18 美原四丁目宿舎 102号室</v>
      </c>
      <c r="AF106" s="1" t="s">
        <v>818</v>
      </c>
      <c r="AG106" s="1" t="s">
        <v>817</v>
      </c>
      <c r="AH106" s="1" t="s">
        <v>384</v>
      </c>
      <c r="AI106" s="1" t="str">
        <f t="shared" si="19"/>
        <v> 内本町2‐3‐8</v>
      </c>
      <c r="AJ106" s="1" t="s">
        <v>385</v>
      </c>
      <c r="AK106" s="26" t="s">
        <v>67</v>
      </c>
      <c r="AL106" s="26">
        <v>1</v>
      </c>
      <c r="AM106" s="19" t="str">
        <f ca="1" t="shared" si="20"/>
        <v>PJP001</v>
      </c>
      <c r="AN106" s="1" t="str">
        <f ca="1" t="shared" si="21"/>
        <v/>
      </c>
      <c r="AU106" s="1" t="s">
        <v>115</v>
      </c>
      <c r="AV106" s="1" t="s">
        <v>324</v>
      </c>
      <c r="AW106" s="1" t="s">
        <v>819</v>
      </c>
      <c r="AX106" s="1" t="s">
        <v>820</v>
      </c>
      <c r="AY106" s="1" t="s">
        <v>365</v>
      </c>
      <c r="AZ106" s="1">
        <v>15.7</v>
      </c>
      <c r="BA106" s="1" t="s">
        <v>389</v>
      </c>
      <c r="BB106" s="1"/>
      <c r="BC106" s="1"/>
      <c r="BD106" s="1"/>
    </row>
    <row r="107" ht="33" customHeight="1" spans="1:56">
      <c r="A107" s="13" t="s">
        <v>53</v>
      </c>
      <c r="B107" s="14"/>
      <c r="C107" s="15" t="s">
        <v>821</v>
      </c>
      <c r="D107" s="15" t="s">
        <v>821</v>
      </c>
      <c r="E107" s="1">
        <v>1</v>
      </c>
      <c r="F107" s="3">
        <v>0.84</v>
      </c>
      <c r="G107" s="1" t="s">
        <v>55</v>
      </c>
      <c r="H107" s="16" t="str">
        <f t="shared" si="11"/>
        <v>PLASTIC TOYS</v>
      </c>
      <c r="I107" s="16" t="str">
        <f t="shared" si="12"/>
        <v>ABS</v>
      </c>
      <c r="J107" s="16" t="s">
        <v>822</v>
      </c>
      <c r="K107" s="17" t="str">
        <f t="shared" si="13"/>
        <v>エルファースト株式会社 石田剛大 [エルファースト イシダタカオ]</v>
      </c>
      <c r="L107" s="17"/>
      <c r="M107" s="18" t="str">
        <f t="shared" si="14"/>
        <v>群馬県伊勢崎市昭和町1689-4</v>
      </c>
      <c r="N107" s="19" t="str">
        <f t="shared" si="15"/>
        <v>群馬県伊勢崎市昭和町1689-4</v>
      </c>
      <c r="O107" s="20" t="str">
        <f>MID(N107,MIN(IFERROR(FIND({0,1,2,3,4,5,6,7,8,9},N107),LEN(N107)+1)),LEN(N107))</f>
        <v>1689-4</v>
      </c>
      <c r="P107" s="20" t="str">
        <f t="shared" si="16"/>
        <v> 1689-4</v>
      </c>
      <c r="Q107" s="19" t="s">
        <v>823</v>
      </c>
      <c r="R107" s="21" t="s">
        <v>824</v>
      </c>
      <c r="S107" s="22" t="s">
        <v>59</v>
      </c>
      <c r="T107" s="22" t="s">
        <v>60</v>
      </c>
      <c r="U107" s="23" t="s">
        <v>61</v>
      </c>
      <c r="V107" s="23" t="s">
        <v>62</v>
      </c>
      <c r="W107" s="24"/>
      <c r="X107" s="25">
        <f t="shared" si="17"/>
        <v>16</v>
      </c>
      <c r="Y107" s="23" t="s">
        <v>63</v>
      </c>
      <c r="Z107" s="23" t="s">
        <v>62</v>
      </c>
      <c r="AA107" s="23"/>
      <c r="AB107" s="23" t="s">
        <v>64</v>
      </c>
      <c r="AD107" s="19" t="s">
        <v>822</v>
      </c>
      <c r="AE107" s="1" t="str">
        <f t="shared" si="18"/>
        <v>群馬県伊勢崎市昭和町1689-4</v>
      </c>
      <c r="AF107" s="1" t="s">
        <v>824</v>
      </c>
      <c r="AG107" s="1" t="s">
        <v>823</v>
      </c>
      <c r="AH107" s="1" t="s">
        <v>176</v>
      </c>
      <c r="AI107" s="1" t="str">
        <f t="shared" si="19"/>
        <v> 東京都品川区平塚1-13-1</v>
      </c>
      <c r="AJ107" s="1" t="s">
        <v>177</v>
      </c>
      <c r="AK107" s="26" t="s">
        <v>67</v>
      </c>
      <c r="AL107" s="26">
        <v>1</v>
      </c>
      <c r="AM107" s="19" t="str">
        <f ca="1" t="shared" si="20"/>
        <v>PJP001</v>
      </c>
      <c r="AN107" s="1" t="str">
        <f ca="1" t="shared" si="21"/>
        <v/>
      </c>
      <c r="AU107" s="1" t="s">
        <v>212</v>
      </c>
      <c r="AV107" s="1" t="s">
        <v>825</v>
      </c>
      <c r="AW107" s="1" t="s">
        <v>826</v>
      </c>
      <c r="AX107" s="1" t="s">
        <v>104</v>
      </c>
      <c r="AY107" s="1" t="s">
        <v>72</v>
      </c>
      <c r="AZ107" s="1">
        <v>16.8</v>
      </c>
      <c r="BA107" s="1" t="s">
        <v>180</v>
      </c>
      <c r="BB107" s="1"/>
      <c r="BC107" s="1"/>
      <c r="BD107" s="1"/>
    </row>
    <row r="108" ht="33" customHeight="1" spans="1:56">
      <c r="A108" s="13" t="s">
        <v>53</v>
      </c>
      <c r="B108" s="14"/>
      <c r="C108" s="15" t="s">
        <v>827</v>
      </c>
      <c r="D108" s="15" t="s">
        <v>827</v>
      </c>
      <c r="E108" s="1">
        <v>1</v>
      </c>
      <c r="F108" s="3">
        <v>0.58</v>
      </c>
      <c r="G108" s="1" t="s">
        <v>55</v>
      </c>
      <c r="H108" s="16" t="str">
        <f t="shared" si="11"/>
        <v>FAN</v>
      </c>
      <c r="I108" s="16" t="str">
        <f t="shared" si="12"/>
        <v>ABS</v>
      </c>
      <c r="J108" s="16" t="s">
        <v>828</v>
      </c>
      <c r="K108" s="17" t="str">
        <f t="shared" si="13"/>
        <v>神谷 友梨 [カミヤ ユリ]</v>
      </c>
      <c r="L108" s="17"/>
      <c r="M108" s="18" t="str">
        <f t="shared" si="14"/>
        <v>愛知県名古屋市中村区名駅南3丁目3-16ディモーラ名駅南301</v>
      </c>
      <c r="N108" s="19" t="str">
        <f t="shared" si="15"/>
        <v>愛知県名古屋市中村区名駅南3丁目3-16ディモーラ名駅南301</v>
      </c>
      <c r="O108" s="20" t="str">
        <f>MID(N108,MIN(IFERROR(FIND({0,1,2,3,4,5,6,7,8,9},N108),LEN(N108)+1)),LEN(N108))</f>
        <v>3丁目3-16ディモーラ名駅南301</v>
      </c>
      <c r="P108" s="20" t="str">
        <f t="shared" si="16"/>
        <v> 3丁目3-16ディモーラ名駅南301</v>
      </c>
      <c r="Q108" s="19" t="s">
        <v>829</v>
      </c>
      <c r="R108" s="21" t="s">
        <v>830</v>
      </c>
      <c r="S108" s="22" t="s">
        <v>59</v>
      </c>
      <c r="T108" s="22" t="s">
        <v>60</v>
      </c>
      <c r="U108" s="23" t="s">
        <v>61</v>
      </c>
      <c r="V108" s="23" t="s">
        <v>62</v>
      </c>
      <c r="W108" s="24"/>
      <c r="X108" s="25">
        <f t="shared" si="17"/>
        <v>15</v>
      </c>
      <c r="Y108" s="23" t="s">
        <v>63</v>
      </c>
      <c r="Z108" s="23" t="s">
        <v>62</v>
      </c>
      <c r="AA108" s="23"/>
      <c r="AB108" s="23" t="s">
        <v>64</v>
      </c>
      <c r="AD108" s="19" t="s">
        <v>828</v>
      </c>
      <c r="AE108" s="1" t="str">
        <f t="shared" si="18"/>
        <v>愛知県名古屋市中村区名駅南3丁目3-16ディモーラ名駅南301</v>
      </c>
      <c r="AF108" s="1" t="s">
        <v>830</v>
      </c>
      <c r="AG108" s="1" t="s">
        <v>829</v>
      </c>
      <c r="AH108" s="1" t="s">
        <v>683</v>
      </c>
      <c r="AI108" s="1" t="str">
        <f t="shared" si="19"/>
        <v> 西成区北津守４－１３－４３</v>
      </c>
      <c r="AJ108" s="1" t="s">
        <v>684</v>
      </c>
      <c r="AK108" s="26" t="s">
        <v>67</v>
      </c>
      <c r="AL108" s="26">
        <v>1</v>
      </c>
      <c r="AM108" s="19" t="str">
        <f ca="1" t="shared" si="20"/>
        <v>PJP001</v>
      </c>
      <c r="AN108" s="1" t="str">
        <f ca="1" t="shared" si="21"/>
        <v/>
      </c>
      <c r="AU108" s="1" t="s">
        <v>137</v>
      </c>
      <c r="AV108" s="1" t="s">
        <v>831</v>
      </c>
      <c r="AW108" s="1" t="s">
        <v>832</v>
      </c>
      <c r="AX108" s="1" t="s">
        <v>687</v>
      </c>
      <c r="AY108" s="1" t="s">
        <v>72</v>
      </c>
      <c r="AZ108" s="1">
        <v>15</v>
      </c>
      <c r="BA108" s="1" t="s">
        <v>688</v>
      </c>
      <c r="BB108" s="1"/>
      <c r="BC108" s="1"/>
      <c r="BD108" s="1"/>
    </row>
    <row r="109" ht="33" customHeight="1" spans="1:56">
      <c r="A109" s="13" t="s">
        <v>53</v>
      </c>
      <c r="B109" s="14"/>
      <c r="C109" s="15" t="s">
        <v>833</v>
      </c>
      <c r="D109" s="15" t="s">
        <v>833</v>
      </c>
      <c r="E109" s="1">
        <v>1</v>
      </c>
      <c r="F109" s="3">
        <v>0.47</v>
      </c>
      <c r="G109" s="1" t="s">
        <v>55</v>
      </c>
      <c r="H109" s="16" t="str">
        <f t="shared" si="11"/>
        <v>NIGHT LIGHT</v>
      </c>
      <c r="I109" s="16" t="str">
        <f t="shared" si="12"/>
        <v>ABS</v>
      </c>
      <c r="J109" s="16" t="s">
        <v>834</v>
      </c>
      <c r="K109" s="17" t="str">
        <f t="shared" si="13"/>
        <v>香月 星乃 [カツキ セイノ]</v>
      </c>
      <c r="L109" s="17"/>
      <c r="M109" s="18" t="str">
        <f t="shared" si="14"/>
        <v>東京都世田谷区船橋6-27-1-7102025-12-16(火)</v>
      </c>
      <c r="N109" s="19" t="str">
        <f t="shared" si="15"/>
        <v>東京都世田谷区船橋6-27-1-7102025-12-16(火)</v>
      </c>
      <c r="O109" s="20" t="str">
        <f>MID(N109,MIN(IFERROR(FIND({0,1,2,3,4,5,6,7,8,9},N109),LEN(N109)+1)),LEN(N109))</f>
        <v>6-27-1-7102025-12-16(火)</v>
      </c>
      <c r="P109" s="20" t="str">
        <f t="shared" si="16"/>
        <v> 6-27-1-7102025-12-16(火)</v>
      </c>
      <c r="Q109" s="19" t="s">
        <v>835</v>
      </c>
      <c r="R109" s="21" t="s">
        <v>836</v>
      </c>
      <c r="S109" s="22" t="s">
        <v>59</v>
      </c>
      <c r="T109" s="22" t="s">
        <v>60</v>
      </c>
      <c r="U109" s="23" t="s">
        <v>61</v>
      </c>
      <c r="V109" s="23" t="s">
        <v>62</v>
      </c>
      <c r="W109" s="24"/>
      <c r="X109" s="25">
        <f t="shared" si="17"/>
        <v>15</v>
      </c>
      <c r="Y109" s="23" t="s">
        <v>63</v>
      </c>
      <c r="Z109" s="23" t="s">
        <v>62</v>
      </c>
      <c r="AA109" s="23"/>
      <c r="AB109" s="23" t="s">
        <v>64</v>
      </c>
      <c r="AD109" s="19" t="s">
        <v>834</v>
      </c>
      <c r="AE109" s="1" t="str">
        <f t="shared" si="18"/>
        <v>東京都世田谷区船橋6-27-1-7102025-12-16(火)</v>
      </c>
      <c r="AF109" s="1" t="s">
        <v>836</v>
      </c>
      <c r="AG109" s="1" t="s">
        <v>835</v>
      </c>
      <c r="AH109" s="1" t="s">
        <v>462</v>
      </c>
      <c r="AI109" s="1" t="str">
        <f t="shared" si="19"/>
        <v> 内本町2‐3‐8</v>
      </c>
      <c r="AJ109" s="1" t="s">
        <v>385</v>
      </c>
      <c r="AK109" s="26" t="s">
        <v>67</v>
      </c>
      <c r="AL109" s="26">
        <v>1</v>
      </c>
      <c r="AM109" s="19" t="str">
        <f ca="1" t="shared" si="20"/>
        <v>PJP001</v>
      </c>
      <c r="AN109" s="1" t="str">
        <f ca="1" t="shared" si="21"/>
        <v/>
      </c>
      <c r="AU109" s="1" t="s">
        <v>68</v>
      </c>
      <c r="AV109" s="1" t="s">
        <v>837</v>
      </c>
      <c r="AW109" s="1" t="s">
        <v>838</v>
      </c>
      <c r="AX109" s="1" t="s">
        <v>678</v>
      </c>
      <c r="AY109" s="1" t="s">
        <v>72</v>
      </c>
      <c r="AZ109" s="1">
        <v>15.89</v>
      </c>
      <c r="BA109" s="1" t="s">
        <v>389</v>
      </c>
      <c r="BB109" s="1"/>
      <c r="BC109" s="1"/>
      <c r="BD109" s="1"/>
    </row>
    <row r="110" ht="33" customHeight="1" spans="1:56">
      <c r="A110" s="13" t="s">
        <v>53</v>
      </c>
      <c r="B110" s="14"/>
      <c r="C110" s="15" t="s">
        <v>839</v>
      </c>
      <c r="D110" s="15" t="s">
        <v>839</v>
      </c>
      <c r="E110" s="1">
        <v>1</v>
      </c>
      <c r="F110" s="3">
        <v>0.94</v>
      </c>
      <c r="G110" s="1" t="s">
        <v>55</v>
      </c>
      <c r="H110" s="16" t="str">
        <f t="shared" si="11"/>
        <v>DATA LINE,PEPPER MILL</v>
      </c>
      <c r="I110" s="16" t="str">
        <f t="shared" si="12"/>
        <v>PLASTIC</v>
      </c>
      <c r="J110" s="16" t="s">
        <v>840</v>
      </c>
      <c r="K110" s="17" t="str">
        <f t="shared" si="13"/>
        <v>横山 葵 [ヨコヤマ アオイ]</v>
      </c>
      <c r="L110" s="17"/>
      <c r="M110" s="18" t="str">
        <f t="shared" si="14"/>
        <v>北海道岩見沢市上幌向北一条5丁目758-41</v>
      </c>
      <c r="N110" s="19" t="str">
        <f t="shared" si="15"/>
        <v>北海道岩見沢市上幌向北一条5丁目758-41</v>
      </c>
      <c r="O110" s="20" t="str">
        <f>MID(N110,MIN(IFERROR(FIND({0,1,2,3,4,5,6,7,8,9},N110),LEN(N110)+1)),LEN(N110))</f>
        <v>5丁目758-41</v>
      </c>
      <c r="P110" s="20" t="str">
        <f t="shared" si="16"/>
        <v> 5丁目758-41</v>
      </c>
      <c r="Q110" s="19" t="s">
        <v>841</v>
      </c>
      <c r="R110" s="21" t="s">
        <v>842</v>
      </c>
      <c r="S110" s="22" t="s">
        <v>59</v>
      </c>
      <c r="T110" s="22" t="s">
        <v>60</v>
      </c>
      <c r="U110" s="23" t="s">
        <v>61</v>
      </c>
      <c r="V110" s="23" t="s">
        <v>62</v>
      </c>
      <c r="W110" s="24"/>
      <c r="X110" s="25">
        <f t="shared" si="17"/>
        <v>7</v>
      </c>
      <c r="Y110" s="23" t="s">
        <v>63</v>
      </c>
      <c r="Z110" s="23" t="s">
        <v>62</v>
      </c>
      <c r="AA110" s="23"/>
      <c r="AB110" s="23" t="s">
        <v>64</v>
      </c>
      <c r="AD110" s="19" t="s">
        <v>840</v>
      </c>
      <c r="AE110" s="1" t="str">
        <f t="shared" si="18"/>
        <v>北海道岩見沢市上幌向北一条5丁目758-41</v>
      </c>
      <c r="AF110" s="1" t="s">
        <v>842</v>
      </c>
      <c r="AG110" s="1" t="s">
        <v>841</v>
      </c>
      <c r="AH110" s="1" t="s">
        <v>771</v>
      </c>
      <c r="AI110" s="1" t="str">
        <f t="shared" si="19"/>
        <v> 和歌山県和歌山市西釘貫丁２－５３プレミール石川５０２</v>
      </c>
      <c r="AJ110" s="1" t="s">
        <v>772</v>
      </c>
      <c r="AK110" s="26" t="s">
        <v>67</v>
      </c>
      <c r="AL110" s="26">
        <v>1</v>
      </c>
      <c r="AM110" s="19" t="str">
        <f ca="1" t="shared" si="20"/>
        <v>PJP001</v>
      </c>
      <c r="AN110" s="1" t="str">
        <f ca="1" t="shared" si="21"/>
        <v/>
      </c>
      <c r="AU110" s="1" t="s">
        <v>115</v>
      </c>
      <c r="AV110" s="1" t="s">
        <v>843</v>
      </c>
      <c r="AW110" s="1" t="s">
        <v>844</v>
      </c>
      <c r="AX110" s="1" t="s">
        <v>845</v>
      </c>
      <c r="AY110" s="1" t="s">
        <v>94</v>
      </c>
      <c r="AZ110" s="1">
        <v>7</v>
      </c>
      <c r="BA110" s="1" t="s">
        <v>777</v>
      </c>
      <c r="BB110" s="1"/>
      <c r="BC110" s="1"/>
      <c r="BD110" s="1"/>
    </row>
    <row r="111" ht="33" customHeight="1" spans="1:56">
      <c r="A111" s="13" t="s">
        <v>53</v>
      </c>
      <c r="B111" s="14"/>
      <c r="C111" s="15" t="s">
        <v>846</v>
      </c>
      <c r="D111" s="15" t="s">
        <v>846</v>
      </c>
      <c r="E111" s="1">
        <v>1</v>
      </c>
      <c r="F111" s="3">
        <v>1.59</v>
      </c>
      <c r="G111" s="1" t="s">
        <v>55</v>
      </c>
      <c r="H111" s="16" t="str">
        <f t="shared" si="11"/>
        <v>LED LIGHTS</v>
      </c>
      <c r="I111" s="16" t="str">
        <f t="shared" si="12"/>
        <v>ABS</v>
      </c>
      <c r="J111" s="16" t="s">
        <v>847</v>
      </c>
      <c r="K111" s="17" t="str">
        <f t="shared" si="13"/>
        <v>山本剛</v>
      </c>
      <c r="L111" s="17"/>
      <c r="M111" s="18" t="str">
        <f t="shared" si="14"/>
        <v>静岡県浜松市中央区小池町2642</v>
      </c>
      <c r="N111" s="19" t="str">
        <f t="shared" si="15"/>
        <v>静岡県浜松市中央区小池町2642</v>
      </c>
      <c r="O111" s="20" t="str">
        <f>MID(N111,MIN(IFERROR(FIND({0,1,2,3,4,5,6,7,8,9},N111),LEN(N111)+1)),LEN(N111))</f>
        <v>2642</v>
      </c>
      <c r="P111" s="20" t="str">
        <f t="shared" si="16"/>
        <v> 2642</v>
      </c>
      <c r="Q111" s="19" t="s">
        <v>848</v>
      </c>
      <c r="R111" s="21" t="s">
        <v>849</v>
      </c>
      <c r="S111" s="22" t="s">
        <v>59</v>
      </c>
      <c r="T111" s="22" t="s">
        <v>60</v>
      </c>
      <c r="U111" s="23" t="s">
        <v>61</v>
      </c>
      <c r="V111" s="23" t="s">
        <v>62</v>
      </c>
      <c r="W111" s="24"/>
      <c r="X111" s="25">
        <f t="shared" si="17"/>
        <v>13</v>
      </c>
      <c r="Y111" s="23" t="s">
        <v>63</v>
      </c>
      <c r="Z111" s="23" t="s">
        <v>62</v>
      </c>
      <c r="AA111" s="23"/>
      <c r="AB111" s="23" t="s">
        <v>64</v>
      </c>
      <c r="AD111" s="19" t="s">
        <v>847</v>
      </c>
      <c r="AE111" s="1" t="str">
        <f t="shared" si="18"/>
        <v>静岡県浜松市中央区小池町2642</v>
      </c>
      <c r="AF111" s="1" t="s">
        <v>849</v>
      </c>
      <c r="AG111" s="1" t="s">
        <v>848</v>
      </c>
      <c r="AH111" s="1"/>
      <c r="AI111" s="1" t="str">
        <f t="shared" si="19"/>
        <v> </v>
      </c>
      <c r="AJ111" s="1" t="s">
        <v>91</v>
      </c>
      <c r="AK111" s="26" t="s">
        <v>67</v>
      </c>
      <c r="AL111" s="26">
        <v>1</v>
      </c>
      <c r="AM111" s="19" t="str">
        <f ca="1" t="shared" si="20"/>
        <v>JCNZZZ</v>
      </c>
      <c r="AN111" s="1" t="str">
        <f ca="1" t="shared" si="21"/>
        <v>PingDduoDduo</v>
      </c>
      <c r="AU111" s="1"/>
      <c r="AV111" s="1"/>
      <c r="AW111" s="1" t="s">
        <v>850</v>
      </c>
      <c r="AX111" s="1" t="s">
        <v>118</v>
      </c>
      <c r="AY111" s="1" t="s">
        <v>72</v>
      </c>
      <c r="AZ111" s="1">
        <v>13.2</v>
      </c>
      <c r="BA111" s="1" t="s">
        <v>91</v>
      </c>
      <c r="BB111" s="1"/>
      <c r="BC111" s="1"/>
      <c r="BD111" s="1"/>
    </row>
    <row r="112" ht="33" customHeight="1" spans="1:56">
      <c r="A112" s="13" t="s">
        <v>53</v>
      </c>
      <c r="B112" s="14"/>
      <c r="C112" s="15" t="s">
        <v>851</v>
      </c>
      <c r="D112" s="15" t="s">
        <v>851</v>
      </c>
      <c r="E112" s="1">
        <v>1</v>
      </c>
      <c r="F112" s="3">
        <v>0.32</v>
      </c>
      <c r="G112" s="1" t="s">
        <v>55</v>
      </c>
      <c r="H112" s="16" t="str">
        <f t="shared" si="11"/>
        <v>SCANNING PEN</v>
      </c>
      <c r="I112" s="16" t="str">
        <f t="shared" si="12"/>
        <v>ABS</v>
      </c>
      <c r="J112" s="16" t="s">
        <v>852</v>
      </c>
      <c r="K112" s="17" t="str">
        <f t="shared" si="13"/>
        <v>株式会社 坂本推進</v>
      </c>
      <c r="L112" s="17"/>
      <c r="M112" s="18" t="str">
        <f t="shared" si="14"/>
        <v>青森県青森市桜川9-9-24</v>
      </c>
      <c r="N112" s="19" t="str">
        <f t="shared" si="15"/>
        <v>青森県青森市桜川9-9-24</v>
      </c>
      <c r="O112" s="20" t="str">
        <f>MID(N112,MIN(IFERROR(FIND({0,1,2,3,4,5,6,7,8,9},N112),LEN(N112)+1)),LEN(N112))</f>
        <v>9-9-24</v>
      </c>
      <c r="P112" s="20" t="str">
        <f t="shared" si="16"/>
        <v> 9-9-24</v>
      </c>
      <c r="Q112" s="19" t="s">
        <v>853</v>
      </c>
      <c r="R112" s="21" t="s">
        <v>854</v>
      </c>
      <c r="S112" s="22" t="s">
        <v>59</v>
      </c>
      <c r="T112" s="22" t="s">
        <v>60</v>
      </c>
      <c r="U112" s="23" t="s">
        <v>61</v>
      </c>
      <c r="V112" s="23" t="s">
        <v>62</v>
      </c>
      <c r="W112" s="24"/>
      <c r="X112" s="25">
        <f t="shared" si="17"/>
        <v>16</v>
      </c>
      <c r="Y112" s="23" t="s">
        <v>63</v>
      </c>
      <c r="Z112" s="23" t="s">
        <v>62</v>
      </c>
      <c r="AA112" s="23"/>
      <c r="AB112" s="23" t="s">
        <v>64</v>
      </c>
      <c r="AD112" s="19" t="s">
        <v>852</v>
      </c>
      <c r="AE112" s="1" t="str">
        <f t="shared" si="18"/>
        <v>青森県青森市桜川9-9-24</v>
      </c>
      <c r="AF112" s="1" t="s">
        <v>854</v>
      </c>
      <c r="AG112" s="1" t="s">
        <v>853</v>
      </c>
      <c r="AH112" s="1" t="s">
        <v>462</v>
      </c>
      <c r="AI112" s="1" t="str">
        <f t="shared" si="19"/>
        <v> 内本町2‐3‐8</v>
      </c>
      <c r="AJ112" s="1" t="s">
        <v>385</v>
      </c>
      <c r="AK112" s="26" t="s">
        <v>67</v>
      </c>
      <c r="AL112" s="26">
        <v>1</v>
      </c>
      <c r="AM112" s="19" t="str">
        <f ca="1" t="shared" si="20"/>
        <v>PJP001</v>
      </c>
      <c r="AN112" s="1" t="str">
        <f ca="1" t="shared" si="21"/>
        <v/>
      </c>
      <c r="AU112" s="1" t="s">
        <v>855</v>
      </c>
      <c r="AV112" s="1" t="s">
        <v>856</v>
      </c>
      <c r="AW112" s="1" t="s">
        <v>857</v>
      </c>
      <c r="AX112" s="1" t="s">
        <v>858</v>
      </c>
      <c r="AY112" s="1" t="s">
        <v>72</v>
      </c>
      <c r="AZ112" s="1">
        <v>16.8</v>
      </c>
      <c r="BA112" s="1" t="s">
        <v>389</v>
      </c>
      <c r="BB112" s="1"/>
      <c r="BC112" s="1"/>
      <c r="BD112" s="1"/>
    </row>
    <row r="113" ht="33" customHeight="1" spans="1:56">
      <c r="A113" s="13" t="s">
        <v>53</v>
      </c>
      <c r="B113" s="14"/>
      <c r="C113" s="15" t="s">
        <v>859</v>
      </c>
      <c r="D113" s="15" t="s">
        <v>859</v>
      </c>
      <c r="E113" s="1">
        <v>1</v>
      </c>
      <c r="F113" s="3">
        <v>0.35</v>
      </c>
      <c r="G113" s="1" t="s">
        <v>55</v>
      </c>
      <c r="H113" s="16" t="str">
        <f t="shared" si="11"/>
        <v>CIRCUIT CHANGER</v>
      </c>
      <c r="I113" s="16" t="str">
        <f t="shared" si="12"/>
        <v>ABS</v>
      </c>
      <c r="J113" s="16" t="s">
        <v>860</v>
      </c>
      <c r="K113" s="17" t="str">
        <f t="shared" si="13"/>
        <v>市毛 徹 [イチゲ トオル]</v>
      </c>
      <c r="L113" s="17"/>
      <c r="M113" s="18" t="str">
        <f t="shared" si="14"/>
        <v>静岡県富士市さんどまき57番地</v>
      </c>
      <c r="N113" s="19" t="str">
        <f t="shared" si="15"/>
        <v>静岡県富士市さんどまき57番地</v>
      </c>
      <c r="O113" s="20" t="str">
        <f>MID(N113,MIN(IFERROR(FIND({0,1,2,3,4,5,6,7,8,9},N113),LEN(N113)+1)),LEN(N113))</f>
        <v>57番地</v>
      </c>
      <c r="P113" s="20" t="str">
        <f t="shared" si="16"/>
        <v> 57番地</v>
      </c>
      <c r="Q113" s="19" t="s">
        <v>861</v>
      </c>
      <c r="R113" s="21" t="s">
        <v>862</v>
      </c>
      <c r="S113" s="22" t="s">
        <v>59</v>
      </c>
      <c r="T113" s="22" t="s">
        <v>60</v>
      </c>
      <c r="U113" s="23" t="s">
        <v>61</v>
      </c>
      <c r="V113" s="23" t="s">
        <v>62</v>
      </c>
      <c r="W113" s="24"/>
      <c r="X113" s="25">
        <f t="shared" si="17"/>
        <v>8</v>
      </c>
      <c r="Y113" s="23" t="s">
        <v>63</v>
      </c>
      <c r="Z113" s="23" t="s">
        <v>62</v>
      </c>
      <c r="AA113" s="23"/>
      <c r="AB113" s="23" t="s">
        <v>64</v>
      </c>
      <c r="AD113" s="19" t="s">
        <v>860</v>
      </c>
      <c r="AE113" s="1" t="str">
        <f t="shared" si="18"/>
        <v>静岡県富士市さんどまき57番地</v>
      </c>
      <c r="AF113" s="1" t="s">
        <v>862</v>
      </c>
      <c r="AG113" s="1" t="s">
        <v>861</v>
      </c>
      <c r="AH113" s="1" t="s">
        <v>342</v>
      </c>
      <c r="AI113" s="1" t="str">
        <f t="shared" si="19"/>
        <v> 中央区内本町2‐3‐8　ダイアパレスビル本町 1006ミズイシテクノロジー</v>
      </c>
      <c r="AJ113" s="1" t="s">
        <v>343</v>
      </c>
      <c r="AK113" s="26" t="s">
        <v>67</v>
      </c>
      <c r="AL113" s="26">
        <v>1</v>
      </c>
      <c r="AM113" s="19" t="str">
        <f ca="1" t="shared" si="20"/>
        <v>PJP001</v>
      </c>
      <c r="AN113" s="1" t="str">
        <f ca="1" t="shared" si="21"/>
        <v/>
      </c>
      <c r="AU113" s="1" t="s">
        <v>201</v>
      </c>
      <c r="AV113" s="1" t="s">
        <v>863</v>
      </c>
      <c r="AW113" s="1" t="s">
        <v>864</v>
      </c>
      <c r="AX113" s="1" t="s">
        <v>865</v>
      </c>
      <c r="AY113" s="1" t="s">
        <v>72</v>
      </c>
      <c r="AZ113" s="1">
        <v>8.69</v>
      </c>
      <c r="BA113" s="1" t="s">
        <v>347</v>
      </c>
      <c r="BB113" s="1"/>
      <c r="BC113" s="1"/>
      <c r="BD113" s="1"/>
    </row>
    <row r="114" ht="33" customHeight="1" spans="1:56">
      <c r="A114" s="13" t="s">
        <v>53</v>
      </c>
      <c r="B114" s="14"/>
      <c r="C114" s="15" t="s">
        <v>866</v>
      </c>
      <c r="D114" s="15" t="s">
        <v>866</v>
      </c>
      <c r="E114" s="1">
        <v>1</v>
      </c>
      <c r="F114" s="3">
        <v>1.08</v>
      </c>
      <c r="G114" s="1" t="s">
        <v>55</v>
      </c>
      <c r="H114" s="16" t="str">
        <f t="shared" si="11"/>
        <v>ELECTRONIC ORGAN TOY</v>
      </c>
      <c r="I114" s="16" t="str">
        <f t="shared" si="12"/>
        <v>ABS</v>
      </c>
      <c r="J114" s="16" t="s">
        <v>867</v>
      </c>
      <c r="K114" s="17" t="str">
        <f t="shared" si="13"/>
        <v>網田 涼花</v>
      </c>
      <c r="L114" s="17"/>
      <c r="M114" s="18" t="str">
        <f t="shared" si="14"/>
        <v>滋賀県彦根市野田山町569-1 ゴールドパティー5 103</v>
      </c>
      <c r="N114" s="19" t="str">
        <f t="shared" si="15"/>
        <v>滋賀県彦根市野田山町569-1 ゴールドパティー5 103</v>
      </c>
      <c r="O114" s="20" t="str">
        <f>MID(N114,MIN(IFERROR(FIND({0,1,2,3,4,5,6,7,8,9},N114),LEN(N114)+1)),LEN(N114))</f>
        <v>569-1 ゴールドパティー5 103</v>
      </c>
      <c r="P114" s="20" t="str">
        <f t="shared" si="16"/>
        <v> 569-1 ゴールドパティー5 103</v>
      </c>
      <c r="Q114" s="19" t="s">
        <v>868</v>
      </c>
      <c r="R114" s="21" t="s">
        <v>869</v>
      </c>
      <c r="S114" s="22" t="s">
        <v>59</v>
      </c>
      <c r="T114" s="22" t="s">
        <v>60</v>
      </c>
      <c r="U114" s="23" t="s">
        <v>61</v>
      </c>
      <c r="V114" s="23" t="s">
        <v>62</v>
      </c>
      <c r="W114" s="24"/>
      <c r="X114" s="25">
        <f t="shared" si="17"/>
        <v>8</v>
      </c>
      <c r="Y114" s="23" t="s">
        <v>63</v>
      </c>
      <c r="Z114" s="23" t="s">
        <v>62</v>
      </c>
      <c r="AA114" s="23"/>
      <c r="AB114" s="23" t="s">
        <v>64</v>
      </c>
      <c r="AD114" s="19" t="s">
        <v>867</v>
      </c>
      <c r="AE114" s="1" t="str">
        <f t="shared" si="18"/>
        <v>滋賀県彦根市野田山町569-1 ゴールドパティー5 103</v>
      </c>
      <c r="AF114" s="1" t="s">
        <v>869</v>
      </c>
      <c r="AG114" s="1" t="s">
        <v>868</v>
      </c>
      <c r="AH114" s="1" t="s">
        <v>86</v>
      </c>
      <c r="AI114" s="1" t="str">
        <f t="shared" si="19"/>
        <v>千葉県流山市 平方 字下中谷806-1 GLP　ALFALINK8-1F　 13番</v>
      </c>
      <c r="AJ114" s="1" t="s">
        <v>100</v>
      </c>
      <c r="AK114" s="26" t="s">
        <v>67</v>
      </c>
      <c r="AL114" s="26">
        <v>1</v>
      </c>
      <c r="AM114" s="19" t="str">
        <f ca="1" t="shared" si="20"/>
        <v>JCNZZZ</v>
      </c>
      <c r="AN114" s="1" t="str">
        <f ca="1" t="shared" si="21"/>
        <v>ALIBABA</v>
      </c>
      <c r="AU114" s="1" t="s">
        <v>127</v>
      </c>
      <c r="AV114" s="1" t="s">
        <v>870</v>
      </c>
      <c r="AW114" s="1" t="s">
        <v>871</v>
      </c>
      <c r="AX114" s="1" t="s">
        <v>872</v>
      </c>
      <c r="AY114" s="1" t="s">
        <v>72</v>
      </c>
      <c r="AZ114" s="1">
        <v>8</v>
      </c>
      <c r="BA114" s="1" t="s">
        <v>873</v>
      </c>
      <c r="BB114" s="1" t="s">
        <v>617</v>
      </c>
      <c r="BC114" s="1" t="s">
        <v>874</v>
      </c>
      <c r="BD114" s="1" t="s">
        <v>86</v>
      </c>
    </row>
    <row r="115" ht="33" customHeight="1" spans="1:56">
      <c r="A115" s="13" t="s">
        <v>53</v>
      </c>
      <c r="B115" s="14"/>
      <c r="C115" s="15" t="s">
        <v>875</v>
      </c>
      <c r="D115" s="15" t="s">
        <v>875</v>
      </c>
      <c r="E115" s="1">
        <v>1</v>
      </c>
      <c r="F115" s="3">
        <v>0.45</v>
      </c>
      <c r="G115" s="1" t="s">
        <v>55</v>
      </c>
      <c r="H115" s="16" t="str">
        <f t="shared" si="11"/>
        <v>TOY</v>
      </c>
      <c r="I115" s="16" t="str">
        <f t="shared" si="12"/>
        <v>PLASTIC</v>
      </c>
      <c r="J115" s="16" t="s">
        <v>876</v>
      </c>
      <c r="K115" s="17" t="str">
        <f t="shared" si="13"/>
        <v>高屋 梨花 [タカヤ リカ]</v>
      </c>
      <c r="L115" s="17"/>
      <c r="M115" s="18" t="str">
        <f t="shared" si="14"/>
        <v>北海道旭川市豊岡1条6丁目3-18</v>
      </c>
      <c r="N115" s="19" t="str">
        <f t="shared" si="15"/>
        <v>北海道旭川市豊岡1条6丁目3-18</v>
      </c>
      <c r="O115" s="20" t="str">
        <f>MID(N115,MIN(IFERROR(FIND({0,1,2,3,4,5,6,7,8,9},N115),LEN(N115)+1)),LEN(N115))</f>
        <v>1条6丁目3-18</v>
      </c>
      <c r="P115" s="20" t="str">
        <f t="shared" si="16"/>
        <v> 1条6丁目3-18</v>
      </c>
      <c r="Q115" s="19" t="s">
        <v>877</v>
      </c>
      <c r="R115" s="21" t="s">
        <v>878</v>
      </c>
      <c r="S115" s="22" t="s">
        <v>59</v>
      </c>
      <c r="T115" s="22" t="s">
        <v>60</v>
      </c>
      <c r="U115" s="23" t="s">
        <v>61</v>
      </c>
      <c r="V115" s="23" t="s">
        <v>62</v>
      </c>
      <c r="W115" s="24"/>
      <c r="X115" s="25">
        <f t="shared" si="17"/>
        <v>3</v>
      </c>
      <c r="Y115" s="23" t="s">
        <v>63</v>
      </c>
      <c r="Z115" s="23" t="s">
        <v>62</v>
      </c>
      <c r="AA115" s="23"/>
      <c r="AB115" s="23" t="s">
        <v>64</v>
      </c>
      <c r="AD115" s="19" t="s">
        <v>876</v>
      </c>
      <c r="AE115" s="1" t="str">
        <f t="shared" si="18"/>
        <v>北海道旭川市豊岡1条6丁目3-18</v>
      </c>
      <c r="AF115" s="1" t="s">
        <v>878</v>
      </c>
      <c r="AG115" s="1" t="s">
        <v>877</v>
      </c>
      <c r="AH115" s="1" t="s">
        <v>879</v>
      </c>
      <c r="AI115" s="1" t="str">
        <f t="shared" si="19"/>
        <v> 大阪府大阪市東住吉区住道矢田七丁目１０番１３号</v>
      </c>
      <c r="AJ115" s="1" t="s">
        <v>582</v>
      </c>
      <c r="AK115" s="26" t="s">
        <v>67</v>
      </c>
      <c r="AL115" s="26">
        <v>1</v>
      </c>
      <c r="AM115" s="19" t="str">
        <f ca="1" t="shared" si="20"/>
        <v>PJP001</v>
      </c>
      <c r="AN115" s="1" t="str">
        <f ca="1" t="shared" si="21"/>
        <v/>
      </c>
      <c r="AU115" s="1" t="s">
        <v>115</v>
      </c>
      <c r="AV115" s="1" t="s">
        <v>880</v>
      </c>
      <c r="AW115" s="1" t="s">
        <v>881</v>
      </c>
      <c r="AX115" s="1" t="s">
        <v>319</v>
      </c>
      <c r="AY115" s="1" t="s">
        <v>94</v>
      </c>
      <c r="AZ115" s="1">
        <v>3</v>
      </c>
      <c r="BA115" s="1" t="s">
        <v>588</v>
      </c>
      <c r="BB115" s="1"/>
      <c r="BC115" s="1"/>
      <c r="BD115" s="1"/>
    </row>
    <row r="116" ht="33" customHeight="1" spans="1:56">
      <c r="A116" s="13" t="s">
        <v>53</v>
      </c>
      <c r="B116" s="14"/>
      <c r="C116" s="15" t="s">
        <v>882</v>
      </c>
      <c r="D116" s="15" t="s">
        <v>882</v>
      </c>
      <c r="E116" s="1">
        <v>1</v>
      </c>
      <c r="F116" s="3">
        <v>1.23</v>
      </c>
      <c r="G116" s="1" t="s">
        <v>55</v>
      </c>
      <c r="H116" s="16" t="str">
        <f t="shared" si="11"/>
        <v>MAKEUP MIRROR</v>
      </c>
      <c r="I116" s="16" t="str">
        <f t="shared" si="12"/>
        <v>GLASS</v>
      </c>
      <c r="J116" s="16" t="s">
        <v>883</v>
      </c>
      <c r="K116" s="17" t="str">
        <f t="shared" si="13"/>
        <v>廣瀬 みちる [ヒロセ ミチル]</v>
      </c>
      <c r="L116" s="17"/>
      <c r="M116" s="18" t="str">
        <f t="shared" si="14"/>
        <v>東京都中野区中央4丁目53-4 ベルプラザ402（午前中お願い）</v>
      </c>
      <c r="N116" s="19" t="str">
        <f t="shared" si="15"/>
        <v>東京都中野区中央4丁目53-4 ベルプラザ402（午前中お願い）</v>
      </c>
      <c r="O116" s="20" t="str">
        <f>MID(N116,MIN(IFERROR(FIND({0,1,2,3,4,5,6,7,8,9},N116),LEN(N116)+1)),LEN(N116))</f>
        <v>4丁目53-4 ベルプラザ402（午前中お願い）</v>
      </c>
      <c r="P116" s="20" t="str">
        <f t="shared" si="16"/>
        <v> 4丁目53-4 ベルプラザ402（午前中お願い）</v>
      </c>
      <c r="Q116" s="19" t="s">
        <v>884</v>
      </c>
      <c r="R116" s="21" t="s">
        <v>885</v>
      </c>
      <c r="S116" s="22" t="s">
        <v>59</v>
      </c>
      <c r="T116" s="22" t="s">
        <v>60</v>
      </c>
      <c r="U116" s="23" t="s">
        <v>61</v>
      </c>
      <c r="V116" s="23" t="s">
        <v>62</v>
      </c>
      <c r="W116" s="24"/>
      <c r="X116" s="25">
        <f t="shared" si="17"/>
        <v>16</v>
      </c>
      <c r="Y116" s="23" t="s">
        <v>63</v>
      </c>
      <c r="Z116" s="23" t="s">
        <v>62</v>
      </c>
      <c r="AA116" s="23"/>
      <c r="AB116" s="23" t="s">
        <v>64</v>
      </c>
      <c r="AD116" s="19" t="s">
        <v>883</v>
      </c>
      <c r="AE116" s="1" t="str">
        <f t="shared" si="18"/>
        <v>東京都中野区中央4丁目53-4 ベルプラザ402（午前中お願い）</v>
      </c>
      <c r="AF116" s="1" t="s">
        <v>885</v>
      </c>
      <c r="AG116" s="1" t="s">
        <v>884</v>
      </c>
      <c r="AH116" s="1" t="s">
        <v>462</v>
      </c>
      <c r="AI116" s="1" t="str">
        <f t="shared" si="19"/>
        <v> 内本町2‐3‐8</v>
      </c>
      <c r="AJ116" s="1" t="s">
        <v>385</v>
      </c>
      <c r="AK116" s="26" t="s">
        <v>67</v>
      </c>
      <c r="AL116" s="26">
        <v>1</v>
      </c>
      <c r="AM116" s="19" t="str">
        <f ca="1" t="shared" si="20"/>
        <v>PJP001</v>
      </c>
      <c r="AN116" s="1" t="str">
        <f ca="1" t="shared" si="21"/>
        <v/>
      </c>
      <c r="AU116" s="1" t="s">
        <v>68</v>
      </c>
      <c r="AV116" s="1" t="s">
        <v>886</v>
      </c>
      <c r="AW116" s="1" t="s">
        <v>887</v>
      </c>
      <c r="AX116" s="1" t="s">
        <v>492</v>
      </c>
      <c r="AY116" s="1" t="s">
        <v>493</v>
      </c>
      <c r="AZ116" s="1">
        <v>16.4</v>
      </c>
      <c r="BA116" s="1" t="s">
        <v>389</v>
      </c>
      <c r="BB116" s="1"/>
      <c r="BC116" s="1"/>
      <c r="BD116" s="1"/>
    </row>
    <row r="117" ht="33" customHeight="1" spans="1:56">
      <c r="A117" s="13" t="s">
        <v>53</v>
      </c>
      <c r="B117" s="14"/>
      <c r="C117" s="15" t="s">
        <v>888</v>
      </c>
      <c r="D117" s="15" t="s">
        <v>888</v>
      </c>
      <c r="E117" s="1">
        <v>1</v>
      </c>
      <c r="F117" s="3">
        <v>0.2</v>
      </c>
      <c r="G117" s="1" t="s">
        <v>55</v>
      </c>
      <c r="H117" s="16" t="str">
        <f t="shared" si="11"/>
        <v>POLISHING PASTE</v>
      </c>
      <c r="I117" s="16" t="str">
        <f t="shared" si="12"/>
        <v>ALUMINA</v>
      </c>
      <c r="J117" s="16" t="s">
        <v>889</v>
      </c>
      <c r="K117" s="17" t="str">
        <f t="shared" si="13"/>
        <v>杉本 紘史</v>
      </c>
      <c r="L117" s="17"/>
      <c r="M117" s="18" t="str">
        <f t="shared" si="14"/>
        <v>奈良県橿原市地黄町82-31</v>
      </c>
      <c r="N117" s="19" t="str">
        <f t="shared" si="15"/>
        <v>奈良県橿原市地黄町82-31</v>
      </c>
      <c r="O117" s="20" t="str">
        <f>MID(N117,MIN(IFERROR(FIND({0,1,2,3,4,5,6,7,8,9},N117),LEN(N117)+1)),LEN(N117))</f>
        <v>82-31</v>
      </c>
      <c r="P117" s="20" t="str">
        <f t="shared" si="16"/>
        <v> 82-31</v>
      </c>
      <c r="Q117" s="19" t="s">
        <v>890</v>
      </c>
      <c r="R117" s="21" t="s">
        <v>891</v>
      </c>
      <c r="S117" s="22" t="s">
        <v>59</v>
      </c>
      <c r="T117" s="22" t="s">
        <v>60</v>
      </c>
      <c r="U117" s="23" t="s">
        <v>61</v>
      </c>
      <c r="V117" s="23" t="s">
        <v>62</v>
      </c>
      <c r="W117" s="24"/>
      <c r="X117" s="25">
        <f t="shared" si="17"/>
        <v>12</v>
      </c>
      <c r="Y117" s="23" t="s">
        <v>63</v>
      </c>
      <c r="Z117" s="23" t="s">
        <v>62</v>
      </c>
      <c r="AA117" s="23"/>
      <c r="AB117" s="23" t="s">
        <v>64</v>
      </c>
      <c r="AD117" s="19" t="s">
        <v>889</v>
      </c>
      <c r="AE117" s="1" t="str">
        <f t="shared" si="18"/>
        <v>奈良県橿原市地黄町82-31</v>
      </c>
      <c r="AF117" s="1" t="s">
        <v>891</v>
      </c>
      <c r="AG117" s="1" t="s">
        <v>890</v>
      </c>
      <c r="AH117" s="1" t="s">
        <v>274</v>
      </c>
      <c r="AI117" s="1" t="str">
        <f t="shared" si="19"/>
        <v> 東京都西多摩郡奥多摩町留浦１０１８</v>
      </c>
      <c r="AJ117" s="1" t="s">
        <v>275</v>
      </c>
      <c r="AK117" s="26" t="s">
        <v>67</v>
      </c>
      <c r="AL117" s="26">
        <v>1</v>
      </c>
      <c r="AM117" s="19" t="str">
        <f ca="1" t="shared" si="20"/>
        <v>JCNZZZ</v>
      </c>
      <c r="AN117" s="1" t="str">
        <f ca="1" t="shared" si="21"/>
        <v>TAOBAO0</v>
      </c>
      <c r="AU117" s="1" t="s">
        <v>892</v>
      </c>
      <c r="AV117" s="1" t="s">
        <v>893</v>
      </c>
      <c r="AW117" s="1" t="s">
        <v>894</v>
      </c>
      <c r="AX117" s="1" t="s">
        <v>895</v>
      </c>
      <c r="AY117" s="1" t="s">
        <v>896</v>
      </c>
      <c r="AZ117" s="1">
        <v>12</v>
      </c>
      <c r="BA117" s="1" t="s">
        <v>280</v>
      </c>
      <c r="BB117" s="1"/>
      <c r="BC117" s="1"/>
      <c r="BD117" s="1"/>
    </row>
    <row r="118" ht="33" customHeight="1" spans="1:56">
      <c r="A118" s="13" t="s">
        <v>53</v>
      </c>
      <c r="B118" s="14"/>
      <c r="C118" s="15" t="s">
        <v>897</v>
      </c>
      <c r="D118" s="15" t="s">
        <v>897</v>
      </c>
      <c r="E118" s="1">
        <v>1</v>
      </c>
      <c r="F118" s="3">
        <v>0.58</v>
      </c>
      <c r="G118" s="1" t="s">
        <v>55</v>
      </c>
      <c r="H118" s="16" t="str">
        <f t="shared" si="11"/>
        <v>FAN</v>
      </c>
      <c r="I118" s="16" t="str">
        <f t="shared" si="12"/>
        <v>ABS</v>
      </c>
      <c r="J118" s="16" t="s">
        <v>898</v>
      </c>
      <c r="K118" s="17" t="str">
        <f t="shared" si="13"/>
        <v>西間木 恵 [ニシマギ メグミ]</v>
      </c>
      <c r="L118" s="17"/>
      <c r="M118" s="18" t="str">
        <f t="shared" si="14"/>
        <v>栃木県大田原市中野内1879の3</v>
      </c>
      <c r="N118" s="19" t="str">
        <f t="shared" si="15"/>
        <v>栃木県大田原市中野内1879の3</v>
      </c>
      <c r="O118" s="20" t="str">
        <f>MID(N118,MIN(IFERROR(FIND({0,1,2,3,4,5,6,7,8,9},N118),LEN(N118)+1)),LEN(N118))</f>
        <v>1879の3</v>
      </c>
      <c r="P118" s="20" t="str">
        <f t="shared" si="16"/>
        <v> 1879の3</v>
      </c>
      <c r="Q118" s="19" t="s">
        <v>899</v>
      </c>
      <c r="R118" s="21" t="s">
        <v>900</v>
      </c>
      <c r="S118" s="22" t="s">
        <v>59</v>
      </c>
      <c r="T118" s="22" t="s">
        <v>60</v>
      </c>
      <c r="U118" s="23" t="s">
        <v>61</v>
      </c>
      <c r="V118" s="23" t="s">
        <v>62</v>
      </c>
      <c r="W118" s="24"/>
      <c r="X118" s="25">
        <f t="shared" si="17"/>
        <v>15</v>
      </c>
      <c r="Y118" s="23" t="s">
        <v>63</v>
      </c>
      <c r="Z118" s="23" t="s">
        <v>62</v>
      </c>
      <c r="AA118" s="23"/>
      <c r="AB118" s="23" t="s">
        <v>64</v>
      </c>
      <c r="AD118" s="19" t="s">
        <v>898</v>
      </c>
      <c r="AE118" s="1" t="str">
        <f t="shared" si="18"/>
        <v>栃木県大田原市中野内1879の3</v>
      </c>
      <c r="AF118" s="1" t="s">
        <v>900</v>
      </c>
      <c r="AG118" s="1" t="s">
        <v>899</v>
      </c>
      <c r="AH118" s="1" t="s">
        <v>683</v>
      </c>
      <c r="AI118" s="1" t="str">
        <f t="shared" si="19"/>
        <v> 西成区北津守４－１３－４３</v>
      </c>
      <c r="AJ118" s="1" t="s">
        <v>684</v>
      </c>
      <c r="AK118" s="26" t="s">
        <v>67</v>
      </c>
      <c r="AL118" s="26">
        <v>1</v>
      </c>
      <c r="AM118" s="19" t="str">
        <f ca="1" t="shared" si="20"/>
        <v>PJP001</v>
      </c>
      <c r="AN118" s="1" t="str">
        <f ca="1" t="shared" si="21"/>
        <v/>
      </c>
      <c r="AU118" s="1" t="s">
        <v>399</v>
      </c>
      <c r="AV118" s="1" t="s">
        <v>901</v>
      </c>
      <c r="AW118" s="1" t="s">
        <v>902</v>
      </c>
      <c r="AX118" s="1" t="s">
        <v>687</v>
      </c>
      <c r="AY118" s="1" t="s">
        <v>72</v>
      </c>
      <c r="AZ118" s="1">
        <v>15</v>
      </c>
      <c r="BA118" s="1" t="s">
        <v>688</v>
      </c>
      <c r="BB118" s="1"/>
      <c r="BC118" s="1"/>
      <c r="BD118" s="1"/>
    </row>
    <row r="119" ht="33" customHeight="1" spans="1:56">
      <c r="A119" s="13" t="s">
        <v>53</v>
      </c>
      <c r="B119" s="14"/>
      <c r="C119" s="15" t="s">
        <v>903</v>
      </c>
      <c r="D119" s="15" t="s">
        <v>903</v>
      </c>
      <c r="E119" s="1">
        <v>1</v>
      </c>
      <c r="F119" s="3">
        <v>0.4</v>
      </c>
      <c r="G119" s="1" t="s">
        <v>55</v>
      </c>
      <c r="H119" s="16" t="str">
        <f t="shared" si="11"/>
        <v>OUTDOOR LIGHT</v>
      </c>
      <c r="I119" s="16" t="str">
        <f t="shared" si="12"/>
        <v>ABS</v>
      </c>
      <c r="J119" s="16" t="s">
        <v>904</v>
      </c>
      <c r="K119" s="17" t="str">
        <f t="shared" si="13"/>
        <v>株式会社ナガワ つくば営業所</v>
      </c>
      <c r="L119" s="17"/>
      <c r="M119" s="18" t="str">
        <f t="shared" si="14"/>
        <v>茨城県つくば市台町1-9-1</v>
      </c>
      <c r="N119" s="19" t="str">
        <f t="shared" si="15"/>
        <v>茨城県つくば市台町1-9-1</v>
      </c>
      <c r="O119" s="20" t="str">
        <f>MID(N119,MIN(IFERROR(FIND({0,1,2,3,4,5,6,7,8,9},N119),LEN(N119)+1)),LEN(N119))</f>
        <v>1-9-1</v>
      </c>
      <c r="P119" s="20" t="str">
        <f t="shared" si="16"/>
        <v> 1-9-1</v>
      </c>
      <c r="Q119" s="19" t="s">
        <v>905</v>
      </c>
      <c r="R119" s="21" t="s">
        <v>906</v>
      </c>
      <c r="S119" s="22" t="s">
        <v>59</v>
      </c>
      <c r="T119" s="22" t="s">
        <v>60</v>
      </c>
      <c r="U119" s="23" t="s">
        <v>61</v>
      </c>
      <c r="V119" s="23" t="s">
        <v>62</v>
      </c>
      <c r="W119" s="24"/>
      <c r="X119" s="25">
        <f t="shared" si="17"/>
        <v>9</v>
      </c>
      <c r="Y119" s="23" t="s">
        <v>63</v>
      </c>
      <c r="Z119" s="23" t="s">
        <v>62</v>
      </c>
      <c r="AA119" s="23"/>
      <c r="AB119" s="23" t="s">
        <v>64</v>
      </c>
      <c r="AD119" s="19" t="s">
        <v>904</v>
      </c>
      <c r="AE119" s="1" t="str">
        <f t="shared" si="18"/>
        <v>茨城県つくば市台町1-9-1</v>
      </c>
      <c r="AF119" s="1" t="s">
        <v>906</v>
      </c>
      <c r="AG119" s="1" t="s">
        <v>905</v>
      </c>
      <c r="AH119" s="1" t="s">
        <v>384</v>
      </c>
      <c r="AI119" s="1" t="str">
        <f t="shared" si="19"/>
        <v> 内本町2‐3‐8</v>
      </c>
      <c r="AJ119" s="1" t="s">
        <v>385</v>
      </c>
      <c r="AK119" s="26" t="s">
        <v>67</v>
      </c>
      <c r="AL119" s="26">
        <v>1</v>
      </c>
      <c r="AM119" s="19" t="str">
        <f ca="1" t="shared" si="20"/>
        <v>PJP001</v>
      </c>
      <c r="AN119" s="1" t="str">
        <f ca="1" t="shared" si="21"/>
        <v/>
      </c>
      <c r="AU119" s="1" t="s">
        <v>907</v>
      </c>
      <c r="AV119" s="1" t="s">
        <v>908</v>
      </c>
      <c r="AW119" s="1" t="s">
        <v>909</v>
      </c>
      <c r="AX119" s="1" t="s">
        <v>388</v>
      </c>
      <c r="AY119" s="1" t="s">
        <v>72</v>
      </c>
      <c r="AZ119" s="1">
        <v>9.63</v>
      </c>
      <c r="BA119" s="1" t="s">
        <v>389</v>
      </c>
      <c r="BB119" s="1"/>
      <c r="BC119" s="1"/>
      <c r="BD119" s="1"/>
    </row>
    <row r="120" ht="33" customHeight="1" spans="1:56">
      <c r="A120" s="13" t="s">
        <v>53</v>
      </c>
      <c r="B120" s="14"/>
      <c r="C120" s="15" t="s">
        <v>910</v>
      </c>
      <c r="D120" s="15" t="s">
        <v>910</v>
      </c>
      <c r="E120" s="1">
        <v>1</v>
      </c>
      <c r="F120" s="3">
        <v>0.61</v>
      </c>
      <c r="G120" s="1" t="s">
        <v>55</v>
      </c>
      <c r="H120" s="16" t="str">
        <f t="shared" si="11"/>
        <v>COAT</v>
      </c>
      <c r="I120" s="16" t="str">
        <f t="shared" si="12"/>
        <v>COTTON</v>
      </c>
      <c r="J120" s="16" t="s">
        <v>911</v>
      </c>
      <c r="K120" s="17" t="str">
        <f t="shared" si="13"/>
        <v>松原 光雄 [マツバラ ミツオ]</v>
      </c>
      <c r="L120" s="17"/>
      <c r="M120" s="18" t="str">
        <f t="shared" si="14"/>
        <v>北海道札幌市東区東雁来九条2丁目11-18</v>
      </c>
      <c r="N120" s="19" t="str">
        <f t="shared" si="15"/>
        <v>北海道札幌市東区東雁来九条2丁目11-18</v>
      </c>
      <c r="O120" s="20" t="str">
        <f>MID(N120,MIN(IFERROR(FIND({0,1,2,3,4,5,6,7,8,9},N120),LEN(N120)+1)),LEN(N120))</f>
        <v>2丁目11-18</v>
      </c>
      <c r="P120" s="20" t="str">
        <f t="shared" si="16"/>
        <v> 2丁目11-18</v>
      </c>
      <c r="Q120" s="19" t="s">
        <v>912</v>
      </c>
      <c r="R120" s="21" t="s">
        <v>913</v>
      </c>
      <c r="S120" s="22" t="s">
        <v>59</v>
      </c>
      <c r="T120" s="22" t="s">
        <v>60</v>
      </c>
      <c r="U120" s="23" t="s">
        <v>61</v>
      </c>
      <c r="V120" s="23" t="s">
        <v>62</v>
      </c>
      <c r="W120" s="24"/>
      <c r="X120" s="25">
        <f t="shared" si="17"/>
        <v>4</v>
      </c>
      <c r="Y120" s="23" t="s">
        <v>63</v>
      </c>
      <c r="Z120" s="23" t="s">
        <v>62</v>
      </c>
      <c r="AA120" s="23"/>
      <c r="AB120" s="23" t="s">
        <v>64</v>
      </c>
      <c r="AD120" s="19" t="s">
        <v>911</v>
      </c>
      <c r="AE120" s="1" t="str">
        <f t="shared" si="18"/>
        <v>北海道札幌市東区東雁来九条2丁目11-18</v>
      </c>
      <c r="AF120" s="1" t="s">
        <v>913</v>
      </c>
      <c r="AG120" s="1" t="s">
        <v>912</v>
      </c>
      <c r="AH120" s="1" t="s">
        <v>632</v>
      </c>
      <c r="AI120" s="1" t="str">
        <f t="shared" si="19"/>
        <v> 中区大手町1-1-26-305大手町一番ビル</v>
      </c>
      <c r="AJ120" s="1" t="s">
        <v>633</v>
      </c>
      <c r="AK120" s="26" t="s">
        <v>67</v>
      </c>
      <c r="AL120" s="26">
        <v>1</v>
      </c>
      <c r="AM120" s="19" t="str">
        <f ca="1" t="shared" si="20"/>
        <v>PJP001</v>
      </c>
      <c r="AN120" s="1" t="str">
        <f ca="1" t="shared" si="21"/>
        <v/>
      </c>
      <c r="AU120" s="1" t="s">
        <v>115</v>
      </c>
      <c r="AV120" s="1" t="s">
        <v>914</v>
      </c>
      <c r="AW120" s="1" t="s">
        <v>915</v>
      </c>
      <c r="AX120" s="1" t="s">
        <v>916</v>
      </c>
      <c r="AY120" s="1" t="s">
        <v>917</v>
      </c>
      <c r="AZ120" s="1">
        <v>4.87</v>
      </c>
      <c r="BA120" s="1" t="s">
        <v>636</v>
      </c>
      <c r="BB120" s="1"/>
      <c r="BC120" s="1"/>
      <c r="BD120" s="1"/>
    </row>
    <row r="121" ht="33" customHeight="1" spans="1:56">
      <c r="A121" s="13" t="s">
        <v>53</v>
      </c>
      <c r="B121" s="14"/>
      <c r="C121" s="15" t="s">
        <v>918</v>
      </c>
      <c r="D121" s="15" t="s">
        <v>918</v>
      </c>
      <c r="E121" s="1">
        <v>1</v>
      </c>
      <c r="F121" s="3">
        <v>0.58</v>
      </c>
      <c r="G121" s="1" t="s">
        <v>55</v>
      </c>
      <c r="H121" s="16" t="str">
        <f t="shared" si="11"/>
        <v>FAN</v>
      </c>
      <c r="I121" s="16" t="str">
        <f t="shared" si="12"/>
        <v>ABS</v>
      </c>
      <c r="J121" s="16" t="s">
        <v>919</v>
      </c>
      <c r="K121" s="17" t="str">
        <f t="shared" si="13"/>
        <v>渡辺 琴美 [ワタナベ コトミ]</v>
      </c>
      <c r="L121" s="17"/>
      <c r="M121" s="18" t="str">
        <f t="shared" si="14"/>
        <v>島根県安来市宮内町318番地7</v>
      </c>
      <c r="N121" s="19" t="str">
        <f t="shared" si="15"/>
        <v>島根県安来市宮内町318番地7</v>
      </c>
      <c r="O121" s="20" t="str">
        <f>MID(N121,MIN(IFERROR(FIND({0,1,2,3,4,5,6,7,8,9},N121),LEN(N121)+1)),LEN(N121))</f>
        <v>318番地7</v>
      </c>
      <c r="P121" s="20" t="str">
        <f t="shared" si="16"/>
        <v> 318番地7</v>
      </c>
      <c r="Q121" s="19" t="s">
        <v>920</v>
      </c>
      <c r="R121" s="21" t="s">
        <v>921</v>
      </c>
      <c r="S121" s="22" t="s">
        <v>59</v>
      </c>
      <c r="T121" s="22" t="s">
        <v>60</v>
      </c>
      <c r="U121" s="23" t="s">
        <v>61</v>
      </c>
      <c r="V121" s="23" t="s">
        <v>62</v>
      </c>
      <c r="W121" s="24"/>
      <c r="X121" s="25">
        <f t="shared" si="17"/>
        <v>15</v>
      </c>
      <c r="Y121" s="23" t="s">
        <v>63</v>
      </c>
      <c r="Z121" s="23" t="s">
        <v>62</v>
      </c>
      <c r="AA121" s="23"/>
      <c r="AB121" s="23" t="s">
        <v>64</v>
      </c>
      <c r="AD121" s="19" t="s">
        <v>919</v>
      </c>
      <c r="AE121" s="1" t="str">
        <f t="shared" si="18"/>
        <v>島根県安来市宮内町318番地7</v>
      </c>
      <c r="AF121" s="1" t="s">
        <v>921</v>
      </c>
      <c r="AG121" s="1" t="s">
        <v>920</v>
      </c>
      <c r="AH121" s="1" t="s">
        <v>683</v>
      </c>
      <c r="AI121" s="1" t="str">
        <f t="shared" si="19"/>
        <v> 西成区北津守４－１３－４３</v>
      </c>
      <c r="AJ121" s="1" t="s">
        <v>684</v>
      </c>
      <c r="AK121" s="26" t="s">
        <v>67</v>
      </c>
      <c r="AL121" s="26">
        <v>1</v>
      </c>
      <c r="AM121" s="19" t="str">
        <f ca="1" t="shared" si="20"/>
        <v>PJP001</v>
      </c>
      <c r="AN121" s="1" t="str">
        <f ca="1" t="shared" si="21"/>
        <v/>
      </c>
      <c r="AU121" s="1" t="s">
        <v>922</v>
      </c>
      <c r="AV121" s="1" t="s">
        <v>923</v>
      </c>
      <c r="AW121" s="1" t="s">
        <v>924</v>
      </c>
      <c r="AX121" s="1" t="s">
        <v>687</v>
      </c>
      <c r="AY121" s="1" t="s">
        <v>72</v>
      </c>
      <c r="AZ121" s="1">
        <v>15</v>
      </c>
      <c r="BA121" s="1" t="s">
        <v>688</v>
      </c>
      <c r="BB121" s="1"/>
      <c r="BC121" s="1"/>
      <c r="BD121" s="1"/>
    </row>
    <row r="122" ht="33" customHeight="1" spans="1:56">
      <c r="A122" s="13" t="s">
        <v>53</v>
      </c>
      <c r="B122" s="14"/>
      <c r="C122" s="15" t="s">
        <v>925</v>
      </c>
      <c r="D122" s="15" t="s">
        <v>925</v>
      </c>
      <c r="E122" s="1">
        <v>1</v>
      </c>
      <c r="F122" s="3">
        <v>0.33</v>
      </c>
      <c r="G122" s="1" t="s">
        <v>55</v>
      </c>
      <c r="H122" s="16" t="str">
        <f t="shared" si="11"/>
        <v>ACRYLIC DISPLAY STAND</v>
      </c>
      <c r="I122" s="16" t="str">
        <f t="shared" si="12"/>
        <v>ACRYLIC</v>
      </c>
      <c r="J122" s="16" t="s">
        <v>926</v>
      </c>
      <c r="K122" s="17" t="str">
        <f t="shared" si="13"/>
        <v>合志 崇</v>
      </c>
      <c r="L122" s="17"/>
      <c r="M122" s="18" t="str">
        <f t="shared" si="14"/>
        <v>東京都武蔵村山市岸 3-22-10 昭和コーポ武蔵村山1 101号室</v>
      </c>
      <c r="N122" s="19" t="str">
        <f t="shared" si="15"/>
        <v>東京都武蔵村山市岸 3-22-10 昭和コーポ武蔵村山1 101号室</v>
      </c>
      <c r="O122" s="20" t="str">
        <f>MID(N122,MIN(IFERROR(FIND({0,1,2,3,4,5,6,7,8,9},N122),LEN(N122)+1)),LEN(N122))</f>
        <v>3-22-10 昭和コーポ武蔵村山1 101号室</v>
      </c>
      <c r="P122" s="20" t="str">
        <f t="shared" si="16"/>
        <v> 3-22-10 昭和コーポ武蔵村山1 101号室</v>
      </c>
      <c r="Q122" s="19" t="s">
        <v>927</v>
      </c>
      <c r="R122" s="21" t="s">
        <v>928</v>
      </c>
      <c r="S122" s="22" t="s">
        <v>59</v>
      </c>
      <c r="T122" s="22" t="s">
        <v>60</v>
      </c>
      <c r="U122" s="23" t="s">
        <v>61</v>
      </c>
      <c r="V122" s="23" t="s">
        <v>62</v>
      </c>
      <c r="W122" s="24"/>
      <c r="X122" s="25">
        <f t="shared" si="17"/>
        <v>12</v>
      </c>
      <c r="Y122" s="23" t="s">
        <v>63</v>
      </c>
      <c r="Z122" s="23" t="s">
        <v>62</v>
      </c>
      <c r="AA122" s="23"/>
      <c r="AB122" s="23" t="s">
        <v>64</v>
      </c>
      <c r="AD122" s="19" t="s">
        <v>926</v>
      </c>
      <c r="AE122" s="1" t="str">
        <f t="shared" si="18"/>
        <v>東京都武蔵村山市岸 3-22-10 昭和コーポ武蔵村山1 101号室</v>
      </c>
      <c r="AF122" s="1" t="s">
        <v>928</v>
      </c>
      <c r="AG122" s="1" t="s">
        <v>927</v>
      </c>
      <c r="AH122" s="1" t="s">
        <v>146</v>
      </c>
      <c r="AI122" s="1" t="str">
        <f t="shared" si="19"/>
        <v> 神奈川県川崎市高津区下作延２－２２－５クレイノアクアパレス２０５</v>
      </c>
      <c r="AJ122" s="1" t="s">
        <v>147</v>
      </c>
      <c r="AK122" s="26" t="s">
        <v>67</v>
      </c>
      <c r="AL122" s="26">
        <v>1</v>
      </c>
      <c r="AM122" s="19" t="str">
        <f ca="1" t="shared" si="20"/>
        <v>JCNZZZ</v>
      </c>
      <c r="AN122" s="1" t="str">
        <f ca="1" t="shared" si="21"/>
        <v>PingDduoDduo</v>
      </c>
      <c r="AU122" s="1" t="s">
        <v>68</v>
      </c>
      <c r="AV122" s="1" t="s">
        <v>929</v>
      </c>
      <c r="AW122" s="1" t="s">
        <v>930</v>
      </c>
      <c r="AX122" s="1" t="s">
        <v>931</v>
      </c>
      <c r="AY122" s="1" t="s">
        <v>932</v>
      </c>
      <c r="AZ122" s="1">
        <v>12</v>
      </c>
      <c r="BA122" s="1" t="s">
        <v>153</v>
      </c>
      <c r="BB122" s="1"/>
      <c r="BC122" s="1"/>
      <c r="BD122" s="1"/>
    </row>
    <row r="123" ht="33" customHeight="1" spans="1:56">
      <c r="A123" s="13" t="s">
        <v>53</v>
      </c>
      <c r="B123" s="14"/>
      <c r="C123" s="15" t="s">
        <v>933</v>
      </c>
      <c r="D123" s="15" t="s">
        <v>933</v>
      </c>
      <c r="E123" s="1">
        <v>1</v>
      </c>
      <c r="F123" s="3">
        <v>0.63</v>
      </c>
      <c r="G123" s="1" t="s">
        <v>55</v>
      </c>
      <c r="H123" s="16" t="str">
        <f t="shared" si="11"/>
        <v>NOTEPAD</v>
      </c>
      <c r="I123" s="16" t="str">
        <f t="shared" si="12"/>
        <v>PAPER</v>
      </c>
      <c r="J123" s="16" t="s">
        <v>934</v>
      </c>
      <c r="K123" s="17" t="str">
        <f t="shared" si="13"/>
        <v>有原 優 [アリハラ ユウ]</v>
      </c>
      <c r="L123" s="17"/>
      <c r="M123" s="18" t="str">
        <f t="shared" si="14"/>
        <v>茨城県つくばみらい市紫峰ヶ丘5-14-2</v>
      </c>
      <c r="N123" s="19" t="str">
        <f t="shared" si="15"/>
        <v>茨城県つくばみらい市紫峰ヶ丘5-14-2</v>
      </c>
      <c r="O123" s="20" t="str">
        <f>MID(N123,MIN(IFERROR(FIND({0,1,2,3,4,5,6,7,8,9},N123),LEN(N123)+1)),LEN(N123))</f>
        <v>5-14-2</v>
      </c>
      <c r="P123" s="20" t="str">
        <f t="shared" si="16"/>
        <v> 5-14-2</v>
      </c>
      <c r="Q123" s="19" t="s">
        <v>935</v>
      </c>
      <c r="R123" s="21" t="s">
        <v>936</v>
      </c>
      <c r="S123" s="22" t="s">
        <v>59</v>
      </c>
      <c r="T123" s="22" t="s">
        <v>60</v>
      </c>
      <c r="U123" s="23" t="s">
        <v>61</v>
      </c>
      <c r="V123" s="23" t="s">
        <v>62</v>
      </c>
      <c r="W123" s="24"/>
      <c r="X123" s="25">
        <f t="shared" si="17"/>
        <v>18</v>
      </c>
      <c r="Y123" s="23" t="s">
        <v>63</v>
      </c>
      <c r="Z123" s="23" t="s">
        <v>62</v>
      </c>
      <c r="AA123" s="23"/>
      <c r="AB123" s="23" t="s">
        <v>64</v>
      </c>
      <c r="AD123" s="19" t="s">
        <v>934</v>
      </c>
      <c r="AE123" s="1" t="str">
        <f t="shared" si="18"/>
        <v>茨城県つくばみらい市紫峰ヶ丘5-14-2</v>
      </c>
      <c r="AF123" s="1" t="s">
        <v>936</v>
      </c>
      <c r="AG123" s="1" t="s">
        <v>935</v>
      </c>
      <c r="AH123" s="1" t="s">
        <v>683</v>
      </c>
      <c r="AI123" s="1" t="str">
        <f t="shared" si="19"/>
        <v> 西成区北津守４－１３－４３</v>
      </c>
      <c r="AJ123" s="1" t="s">
        <v>684</v>
      </c>
      <c r="AK123" s="26" t="s">
        <v>67</v>
      </c>
      <c r="AL123" s="26">
        <v>1</v>
      </c>
      <c r="AM123" s="19" t="str">
        <f ca="1" t="shared" si="20"/>
        <v>PJP001</v>
      </c>
      <c r="AN123" s="1" t="str">
        <f ca="1" t="shared" si="21"/>
        <v/>
      </c>
      <c r="AU123" s="1" t="s">
        <v>907</v>
      </c>
      <c r="AV123" s="1" t="s">
        <v>937</v>
      </c>
      <c r="AW123" s="1" t="s">
        <v>938</v>
      </c>
      <c r="AX123" s="1" t="s">
        <v>939</v>
      </c>
      <c r="AY123" s="1" t="s">
        <v>940</v>
      </c>
      <c r="AZ123" s="1">
        <v>18.6</v>
      </c>
      <c r="BA123" s="1" t="s">
        <v>688</v>
      </c>
      <c r="BB123" s="1"/>
      <c r="BC123" s="1"/>
      <c r="BD123" s="1"/>
    </row>
    <row r="124" ht="33" customHeight="1" spans="1:56">
      <c r="A124" s="13" t="s">
        <v>53</v>
      </c>
      <c r="B124" s="14"/>
      <c r="C124" s="15" t="s">
        <v>941</v>
      </c>
      <c r="D124" s="15" t="s">
        <v>941</v>
      </c>
      <c r="E124" s="1">
        <v>1</v>
      </c>
      <c r="F124" s="3">
        <v>0.07</v>
      </c>
      <c r="G124" s="1" t="s">
        <v>55</v>
      </c>
      <c r="H124" s="16" t="str">
        <f t="shared" si="11"/>
        <v>EYELASH CURLER</v>
      </c>
      <c r="I124" s="16" t="str">
        <f t="shared" si="12"/>
        <v>PLASTIC</v>
      </c>
      <c r="J124" s="16" t="s">
        <v>942</v>
      </c>
      <c r="K124" s="17" t="str">
        <f t="shared" si="13"/>
        <v>佐藤ひなた</v>
      </c>
      <c r="L124" s="17"/>
      <c r="M124" s="18" t="str">
        <f t="shared" si="14"/>
        <v>東京都新宿区早稲田鶴巻町112 ReveResidence早稲田203号室</v>
      </c>
      <c r="N124" s="19" t="str">
        <f t="shared" si="15"/>
        <v>東京都新宿区早稲田鶴巻町112 REVERESIDENCE早稲田203号室</v>
      </c>
      <c r="O124" s="20" t="str">
        <f>MID(N124,MIN(IFERROR(FIND({0,1,2,3,4,5,6,7,8,9},N124),LEN(N124)+1)),LEN(N124))</f>
        <v>112 REVERESIDENCE早稲田203号室</v>
      </c>
      <c r="P124" s="20" t="str">
        <f t="shared" si="16"/>
        <v> 112 REVERESIDENCE早稲田203号室</v>
      </c>
      <c r="Q124" s="19" t="s">
        <v>943</v>
      </c>
      <c r="R124" s="21" t="s">
        <v>944</v>
      </c>
      <c r="S124" s="22" t="s">
        <v>59</v>
      </c>
      <c r="T124" s="22" t="s">
        <v>60</v>
      </c>
      <c r="U124" s="23" t="s">
        <v>61</v>
      </c>
      <c r="V124" s="23" t="s">
        <v>62</v>
      </c>
      <c r="W124" s="24"/>
      <c r="X124" s="25">
        <f t="shared" si="17"/>
        <v>8</v>
      </c>
      <c r="Y124" s="23" t="s">
        <v>63</v>
      </c>
      <c r="Z124" s="23" t="s">
        <v>62</v>
      </c>
      <c r="AA124" s="23"/>
      <c r="AB124" s="23" t="s">
        <v>64</v>
      </c>
      <c r="AD124" s="19" t="s">
        <v>942</v>
      </c>
      <c r="AE124" s="1" t="str">
        <f t="shared" si="18"/>
        <v>東京都新宿区早稲田鶴巻町112 ReveResidence早稲田203号室</v>
      </c>
      <c r="AF124" s="1" t="s">
        <v>944</v>
      </c>
      <c r="AG124" s="1" t="s">
        <v>943</v>
      </c>
      <c r="AH124" s="1"/>
      <c r="AI124" s="1" t="str">
        <f t="shared" si="19"/>
        <v> </v>
      </c>
      <c r="AJ124" s="1" t="s">
        <v>91</v>
      </c>
      <c r="AK124" s="26" t="s">
        <v>67</v>
      </c>
      <c r="AL124" s="26">
        <v>1</v>
      </c>
      <c r="AM124" s="19" t="str">
        <f ca="1" t="shared" si="20"/>
        <v>JCNZZZ</v>
      </c>
      <c r="AN124" s="1" t="str">
        <f ca="1" t="shared" si="21"/>
        <v>PingDduoDduo</v>
      </c>
      <c r="AU124" s="1"/>
      <c r="AV124" s="1"/>
      <c r="AW124" s="1" t="s">
        <v>945</v>
      </c>
      <c r="AX124" s="1" t="s">
        <v>946</v>
      </c>
      <c r="AY124" s="1" t="s">
        <v>94</v>
      </c>
      <c r="AZ124" s="1">
        <v>8</v>
      </c>
      <c r="BA124" s="1" t="s">
        <v>91</v>
      </c>
      <c r="BB124" s="1"/>
      <c r="BC124" s="1"/>
      <c r="BD124" s="1"/>
    </row>
    <row r="125" ht="33" customHeight="1" spans="1:56">
      <c r="A125" s="13" t="s">
        <v>53</v>
      </c>
      <c r="B125" s="14"/>
      <c r="C125" s="15" t="s">
        <v>947</v>
      </c>
      <c r="D125" s="15" t="s">
        <v>947</v>
      </c>
      <c r="E125" s="1">
        <v>1</v>
      </c>
      <c r="F125" s="3">
        <v>0.07</v>
      </c>
      <c r="G125" s="1" t="s">
        <v>55</v>
      </c>
      <c r="H125" s="16" t="str">
        <f t="shared" si="11"/>
        <v>EYELASH CURLER</v>
      </c>
      <c r="I125" s="16" t="str">
        <f t="shared" si="12"/>
        <v>PLASTIC</v>
      </c>
      <c r="J125" s="16" t="s">
        <v>948</v>
      </c>
      <c r="K125" s="17" t="str">
        <f t="shared" si="13"/>
        <v>田中 アイ子</v>
      </c>
      <c r="L125" s="17"/>
      <c r="M125" s="18" t="str">
        <f t="shared" si="14"/>
        <v>静岡県静岡市葵区瀬名7-4-11</v>
      </c>
      <c r="N125" s="19" t="str">
        <f t="shared" si="15"/>
        <v>静岡県静岡市葵区瀬名7-4-11</v>
      </c>
      <c r="O125" s="20" t="str">
        <f>MID(N125,MIN(IFERROR(FIND({0,1,2,3,4,5,6,7,8,9},N125),LEN(N125)+1)),LEN(N125))</f>
        <v>7-4-11</v>
      </c>
      <c r="P125" s="20" t="str">
        <f t="shared" si="16"/>
        <v> 7-4-11</v>
      </c>
      <c r="Q125" s="19" t="s">
        <v>949</v>
      </c>
      <c r="R125" s="21" t="s">
        <v>950</v>
      </c>
      <c r="S125" s="22" t="s">
        <v>59</v>
      </c>
      <c r="T125" s="22" t="s">
        <v>60</v>
      </c>
      <c r="U125" s="23" t="s">
        <v>61</v>
      </c>
      <c r="V125" s="23" t="s">
        <v>62</v>
      </c>
      <c r="W125" s="24"/>
      <c r="X125" s="25">
        <f t="shared" si="17"/>
        <v>8</v>
      </c>
      <c r="Y125" s="23" t="s">
        <v>63</v>
      </c>
      <c r="Z125" s="23" t="s">
        <v>62</v>
      </c>
      <c r="AA125" s="23"/>
      <c r="AB125" s="23" t="s">
        <v>64</v>
      </c>
      <c r="AD125" s="19" t="s">
        <v>948</v>
      </c>
      <c r="AE125" s="1" t="str">
        <f t="shared" si="18"/>
        <v>静岡県静岡市葵区瀬名7-4-11</v>
      </c>
      <c r="AF125" s="1" t="s">
        <v>950</v>
      </c>
      <c r="AG125" s="1" t="s">
        <v>949</v>
      </c>
      <c r="AH125" s="1"/>
      <c r="AI125" s="1" t="str">
        <f t="shared" si="19"/>
        <v> </v>
      </c>
      <c r="AJ125" s="1" t="s">
        <v>91</v>
      </c>
      <c r="AK125" s="26" t="s">
        <v>67</v>
      </c>
      <c r="AL125" s="26">
        <v>1</v>
      </c>
      <c r="AM125" s="19" t="str">
        <f ca="1" t="shared" si="20"/>
        <v>JCNZZZ</v>
      </c>
      <c r="AN125" s="1" t="str">
        <f ca="1" t="shared" si="21"/>
        <v>JinDdong</v>
      </c>
      <c r="AU125" s="1"/>
      <c r="AV125" s="1"/>
      <c r="AW125" s="1" t="s">
        <v>951</v>
      </c>
      <c r="AX125" s="1" t="s">
        <v>946</v>
      </c>
      <c r="AY125" s="1" t="s">
        <v>94</v>
      </c>
      <c r="AZ125" s="1">
        <v>8</v>
      </c>
      <c r="BA125" s="1" t="s">
        <v>91</v>
      </c>
      <c r="BB125" s="1"/>
      <c r="BC125" s="1"/>
      <c r="BD125" s="1"/>
    </row>
    <row r="126" ht="33" customHeight="1" spans="1:56">
      <c r="A126" s="13" t="s">
        <v>53</v>
      </c>
      <c r="B126" s="14"/>
      <c r="C126" s="15" t="s">
        <v>952</v>
      </c>
      <c r="D126" s="15" t="s">
        <v>952</v>
      </c>
      <c r="E126" s="1">
        <v>1</v>
      </c>
      <c r="F126" s="3">
        <v>0.07</v>
      </c>
      <c r="G126" s="1" t="s">
        <v>55</v>
      </c>
      <c r="H126" s="16" t="str">
        <f t="shared" si="11"/>
        <v>EYELASH CURLER</v>
      </c>
      <c r="I126" s="16" t="str">
        <f t="shared" si="12"/>
        <v>PLASTIC</v>
      </c>
      <c r="J126" s="16" t="s">
        <v>953</v>
      </c>
      <c r="K126" s="17" t="str">
        <f t="shared" si="13"/>
        <v>田口みう</v>
      </c>
      <c r="L126" s="17"/>
      <c r="M126" s="18" t="str">
        <f t="shared" si="14"/>
        <v>岩手県宮古市崎鍬ケ崎第４地割１−１３はまなす寮</v>
      </c>
      <c r="N126" s="19" t="str">
        <f t="shared" si="15"/>
        <v>岩手県宮古市崎鍬ケ崎第４地割１−１３はまなす寮</v>
      </c>
      <c r="O126" s="20" t="str">
        <f>MID(N126,MIN(IFERROR(FIND({0,1,2,3,4,5,6,7,8,9},N126),LEN(N126)+1)),LEN(N126))</f>
        <v/>
      </c>
      <c r="P126" s="20" t="str">
        <f t="shared" si="16"/>
        <v> </v>
      </c>
      <c r="Q126" s="19" t="s">
        <v>954</v>
      </c>
      <c r="R126" s="21" t="s">
        <v>955</v>
      </c>
      <c r="S126" s="22" t="s">
        <v>59</v>
      </c>
      <c r="T126" s="22" t="s">
        <v>60</v>
      </c>
      <c r="U126" s="23" t="s">
        <v>61</v>
      </c>
      <c r="V126" s="23" t="s">
        <v>62</v>
      </c>
      <c r="W126" s="24"/>
      <c r="X126" s="25">
        <f t="shared" si="17"/>
        <v>8</v>
      </c>
      <c r="Y126" s="23" t="s">
        <v>63</v>
      </c>
      <c r="Z126" s="23" t="s">
        <v>62</v>
      </c>
      <c r="AA126" s="23"/>
      <c r="AB126" s="23" t="s">
        <v>64</v>
      </c>
      <c r="AD126" s="19" t="s">
        <v>953</v>
      </c>
      <c r="AE126" s="1" t="str">
        <f t="shared" si="18"/>
        <v>岩手県宮古市崎鍬ケ崎第４地割１−１３はまなす寮</v>
      </c>
      <c r="AF126" s="1" t="s">
        <v>955</v>
      </c>
      <c r="AG126" s="1" t="s">
        <v>954</v>
      </c>
      <c r="AH126" s="1"/>
      <c r="AI126" s="1" t="str">
        <f t="shared" si="19"/>
        <v> </v>
      </c>
      <c r="AJ126" s="1" t="s">
        <v>91</v>
      </c>
      <c r="AK126" s="26" t="s">
        <v>67</v>
      </c>
      <c r="AL126" s="26">
        <v>1</v>
      </c>
      <c r="AM126" s="19" t="str">
        <f ca="1" t="shared" si="20"/>
        <v>JCNZZZ</v>
      </c>
      <c r="AN126" s="1" t="str">
        <f ca="1" t="shared" si="21"/>
        <v>TAOBAO0</v>
      </c>
      <c r="AU126" s="1"/>
      <c r="AV126" s="1"/>
      <c r="AW126" s="1" t="s">
        <v>956</v>
      </c>
      <c r="AX126" s="1" t="s">
        <v>946</v>
      </c>
      <c r="AY126" s="1" t="s">
        <v>94</v>
      </c>
      <c r="AZ126" s="1">
        <v>8</v>
      </c>
      <c r="BA126" s="1" t="s">
        <v>91</v>
      </c>
      <c r="BB126" s="1"/>
      <c r="BC126" s="1"/>
      <c r="BD126" s="1"/>
    </row>
    <row r="127" ht="15" customHeight="1" spans="1:56">
      <c r="B127" s="27"/>
      <c r="C127" s="27"/>
      <c r="D127" s="27"/>
      <c r="E127" s="28"/>
      <c r="F127" s="29" t="s">
        <v>957</v>
      </c>
      <c r="G127" s="30"/>
      <c r="H127" s="30"/>
      <c r="I127" s="30"/>
      <c r="J127" s="30"/>
      <c r="K127" s="30"/>
      <c r="L127" s="30"/>
      <c r="M127" s="30"/>
      <c r="N127" s="31"/>
      <c r="O127" s="31"/>
      <c r="P127" s="31"/>
      <c r="Q127" s="31"/>
      <c r="R127" s="31"/>
      <c r="S127" s="32"/>
      <c r="T127" s="32"/>
      <c r="U127" s="32"/>
      <c r="V127" s="32"/>
      <c r="W127" s="33"/>
      <c r="X127" s="33"/>
      <c r="Y127" s="32"/>
    </row>
    <row r="128" ht="24" customHeight="1" spans="1:56">
      <c r="B128" s="34"/>
      <c r="C128" s="34"/>
      <c r="D128" s="34"/>
    </row>
  </sheetData>
  <mergeCells count="1">
    <mergeCell ref="AO2:AT2"/>
  </mergeCells>
  <pageMargins left="0.7" right="0.7" top="0.75" bottom="0.75" header="0.511805555555556" footer="0.511805555555556"/>
  <pageSetup paperSize="9" orientation="portrait" useFirstPageNumber="1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单件尺寸重量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hairyxie</cp:lastModifiedBy>
  <dcterms:created xsi:type="dcterms:W3CDTF">2017-11-23T05:45:00Z</dcterms:created>
  <dcterms:modified xsi:type="dcterms:W3CDTF">2025-12-28T00:50:32Z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92152A8847A8480CB5BFF6FC8FB5EBBA_13</vt:lpwstr>
  </property>
  <property fmtid="{D5CDD505-2E9C-101B-9397-08002B2CF9AE}" pid="4" name="CalculationRule">
    <vt:i4>0</vt:i4>
  </property>
</Properties>
</file>