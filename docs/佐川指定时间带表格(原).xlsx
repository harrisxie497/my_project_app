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589" activeTab="0"/>
  </bookViews>
  <sheets>
    <sheet name="Speedy" r:id="rId5" sheetId="2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<sst xmlns="http://schemas.openxmlformats.org/spreadsheetml/2006/main" count="45" uniqueCount="43">
  <si>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お客様管理番号</t>
  </si>
  <si>
    <t>佐川問合せ番号HAWB</t>
  </si>
  <si>
    <t>配達指定日</t>
  </si>
  <si>
    <t>時間帯指定</t>
  </si>
  <si>
    <t>貨物個数</t>
  </si>
  <si>
    <t>お届け先人名</t>
  </si>
  <si>
    <t>お届け先住所</t>
  </si>
  <si>
    <t>お届け先電話</t>
  </si>
  <si>
    <t>お届け先郵便</t>
  </si>
  <si>
    <t>依頼主</t>
  </si>
  <si>
    <t>依頼主住所</t>
  </si>
  <si>
    <t>依頼主郵便番号</t>
  </si>
  <si>
    <t>依頼主電話</t>
  </si>
  <si>
    <t>佐川顧客コード（固定）</t>
  </si>
  <si>
    <t>記事欄2（品名）</t>
  </si>
  <si>
    <t>記事欄2</t>
  </si>
  <si>
    <t>記事欄3</t>
  </si>
  <si>
    <t>收件人省州（删）</t>
  </si>
  <si>
    <t>收件人城市（删）</t>
  </si>
  <si>
    <r>
      <rPr>
        <sz val="12"/>
        <rFont val="ＭＳ 明朝"/>
        <charset val="134"/>
      </rPr>
      <t>收件人地址1（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）</t>
    </r>
  </si>
  <si>
    <r>
      <rPr>
        <sz val="12"/>
        <rFont val="ＭＳ 明朝"/>
        <charset val="134"/>
      </rPr>
      <t>收件人地址2（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）</t>
    </r>
  </si>
  <si>
    <r>
      <rPr>
        <sz val="12"/>
        <rFont val="ＭＳ 明朝"/>
        <charset val="134"/>
      </rPr>
      <t>收件人地址3（</t>
    </r>
    <r>
      <rPr>
        <sz val="12"/>
        <rFont val="宋体"/>
        <charset val="134"/>
      </rPr>
      <t>删</t>
    </r>
    <r>
      <rPr>
        <sz val="12"/>
        <rFont val="ＭＳ 明朝"/>
        <charset val="134"/>
      </rPr>
      <t>）</t>
    </r>
  </si>
  <si>
    <t>发货省（删）</t>
  </si>
  <si>
    <t>发货市（删）</t>
  </si>
  <si>
    <t>发货地址（删）</t>
  </si>
  <si>
    <t>${row.zhuanDanHao}</t>
  </si>
  <si>
    <t>${row.getExtraJson().getDate("deliveryDate")}</t>
  </si>
  <si>
    <t>${row.waybillExtraEntity.requireDeliveryTime}</t>
  </si>
  <si>
    <t>${row.shouJianRenXingMing}</t>
  </si>
  <si>
    <t>${row.shouJianRenDianHua}</t>
  </si>
  <si>
    <t>${row.shouJianRenYouBian}</t>
  </si>
  <si>
    <t>${row.jiJianGongSiMingCheng}</t>
  </si>
  <si>
    <t xml:space="preserve"> ${row.jiJianRenDianHua}</t>
  </si>
  <si>
    <t>148202040055</t>
  </si>
  <si>
    <t>${row.shenBaoYingWenMing}</t>
  </si>
  <si>
    <t>${row.waybillExtraEntity.recipientState}</t>
  </si>
  <si>
    <t>${row.waybillExtraEntity.recipientCity}</t>
  </si>
  <si>
    <t>${row.shouJianRenDiZhi1}</t>
  </si>
  <si>
    <t>${row.shouJianRenDiZhi2}</t>
  </si>
  <si>
    <t>${row.shouJianRenDiZhi3}</t>
  </si>
  <si>
    <t>${row.waybillExtraEntity.senderState}</t>
  </si>
  <si>
    <t>${row.waybillExtraEntity.senderCity}</t>
  </si>
  <si>
    <t xml:space="preserve"> ${row.jiJianRenDiZhi1}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</si>
</sst>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8" formatCode="&quot;￥&quot;#,##0.00;[Red]&quot;￥&quot;\-#,##0.00"/>
    <numFmt numFmtId="176" formatCode="0_);[Red]\(0\)"/>
    <numFmt numFmtId="177" formatCode="0_ "/>
    <numFmt numFmtId="178" formatCode="[$-409]yyyy\-mm\-dd;@"/>
  </numFmts>
  <fonts count="31">
    <font>
      <sz val="11"/>
      <name val="ＭＳ Ｐゴシック"/>
      <charset val="134"/>
    </font>
    <font>
      <b/>
      <sz val="12"/>
      <name val="ＭＳ 明朝"/>
      <charset val="134"/>
    </font>
    <font>
      <sz val="12"/>
      <name val="ＭＳ 明朝"/>
      <charset val="134"/>
    </font>
    <font>
      <sz val="11"/>
      <name val="ＭＳ 明朝"/>
      <charset val="134"/>
    </font>
    <font>
      <sz val="11"/>
      <color rgb="FF000000"/>
      <name val="ＭＳ 明朝"/>
      <charset val="134"/>
    </font>
    <font>
      <b/>
      <sz val="12"/>
      <color rgb="FFFF0000"/>
      <name val="ＭＳ 明朝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indexed="8"/>
      <name val="Arial"/>
      <charset val="0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0" fontId="0" fillId="0" borderId="0" applyFont="0" applyFill="0" applyBorder="0" applyAlignment="0" applyProtection="0">
      <alignment vertical="center"/>
    </xf>
    <xf numFmtId="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6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0" fontId="24" fillId="0" borderId="0"/>
    <xf numFmtId="0" fontId="25" fillId="0" borderId="0"/>
    <xf numFmtId="0" fontId="26" fillId="0" borderId="0" applyNumberFormat="0" applyFill="0" applyBorder="0" applyProtection="0"/>
    <xf numFmtId="0" fontId="25" fillId="0" borderId="0"/>
    <xf numFmtId="0" fontId="27" fillId="0" borderId="0"/>
    <xf numFmtId="0" fontId="28" fillId="0" borderId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77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quotePrefix="1">
      <alignment horizontal="left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 2 2" xfId="50"/>
    <cellStyle name="一般 3" xfId="51"/>
    <cellStyle name="一般 4" xfId="52"/>
    <cellStyle name="一般 5" xfId="53"/>
    <cellStyle name="一般 6" xfId="54"/>
    <cellStyle name="一般 7" xfId="55"/>
    <cellStyle name="標準 2" xfId="56"/>
  </cellStyles>
  <tableStyles count="0" defaultTableStyle="TableStyleMedium2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worksheets/sheet2.xml" Type="http://schemas.openxmlformats.org/officeDocument/2006/relationships/worksheet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131</xdr:row>
      <xdr:rowOff>351155</xdr:rowOff>
    </xdr:from>
    <xdr:to>
      <xdr:col>7</xdr:col>
      <xdr:colOff>897255</xdr:colOff>
      <xdr:row>131</xdr:row>
      <xdr:rowOff>360680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351155"/>
          <a:ext cx="89725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true"/>
  </sheetPr>
  <dimension ref="A1"/>
  <sheetViews>
    <sheetView workbookViewId="0" showGridLines="true"/>
  </sheetViews>
  <sheetFormatPr defaultRowHeight="15.0"/>
  <cols>
    <col min="1" max="1" width="23.109375" customWidth="true"/>
    <col min="2" max="2" width="23.7734375" customWidth="true"/>
    <col min="3" max="3" width="23.55859375" customWidth="true"/>
    <col min="4" max="4" width="13.21484375" customWidth="true"/>
    <col min="5" max="5" width="11.66796875" customWidth="true"/>
    <col min="6" max="6" width="16.0" customWidth="true"/>
    <col min="7" max="7" width="47.21484375" customWidth="true"/>
    <col min="8" max="8" width="16.55859375" customWidth="true"/>
    <col min="9" max="9" width="14.44140625" customWidth="true"/>
    <col min="10" max="10" width="35.109375" customWidth="true"/>
    <col min="11" max="11" width="61.109375" customWidth="true"/>
    <col min="12" max="12" width="17.44140625" customWidth="true"/>
    <col min="13" max="13" width="19.33203125" customWidth="true"/>
    <col min="14" max="14" width="30.109375" customWidth="true"/>
    <col min="15" max="15" width="31.0" customWidth="true"/>
    <col min="16" max="16" width="12.33203125" customWidth="true"/>
    <col min="17" max="17" width="8.8828125" customWidth="true"/>
    <col min="18" max="18" width="19.41015625" customWidth="true"/>
    <col min="19" max="19" width="19.2578125" customWidth="true"/>
    <col min="20" max="20" width="18.67578125" customWidth="true"/>
    <col min="21" max="21" width="9.0" customWidth="true"/>
    <col min="22" max="22" width="9.0" customWidth="true"/>
    <col min="23" max="23" width="8.8828125" customWidth="true"/>
    <col min="24" max="24" width="8.8828125" customWidth="true"/>
    <col min="25" max="25" width="8.8828125" customWidth="true"/>
  </cols>
  <sheetData>
    <row r="1" customHeight="true" ht="33.05">
      <c r="A1" s="5" t="inlineStr">
        <is>
          <t>お客様管理番号</t>
        </is>
      </c>
      <c r="B1" s="6" t="inlineStr">
        <is>
          <t>佐川問合せ番号HAWB</t>
        </is>
      </c>
      <c r="C1" s="7" t="inlineStr">
        <is>
          <t>配達指定日</t>
        </is>
      </c>
      <c r="D1" s="7" t="inlineStr">
        <is>
          <t>時間帯指定</t>
        </is>
      </c>
      <c r="E1" s="5" t="inlineStr">
        <is>
          <t>貨物個数</t>
        </is>
      </c>
      <c r="F1" s="5" t="inlineStr">
        <is>
          <t>お届け先人名</t>
        </is>
      </c>
      <c r="G1" s="5" t="inlineStr">
        <is>
          <t>お届け先住所</t>
        </is>
      </c>
      <c r="H1" s="5" t="inlineStr">
        <is>
          <t>お届け先電話</t>
        </is>
      </c>
      <c r="I1" s="5" t="inlineStr">
        <is>
          <t>お届け先郵便</t>
        </is>
      </c>
      <c r="J1" s="5" t="inlineStr">
        <is>
          <t>依頼主</t>
        </is>
      </c>
      <c r="K1" s="5" t="inlineStr">
        <is>
          <t>依頼主住所</t>
        </is>
      </c>
      <c r="L1" s="5" t="inlineStr">
        <is>
          <t>依頼主郵便番号</t>
        </is>
      </c>
      <c r="M1" s="5" t="inlineStr">
        <is>
          <t>依頼主電話</t>
        </is>
      </c>
      <c r="N1" s="14" t="inlineStr">
        <is>
          <t>佐川顧客コード（固定）</t>
        </is>
      </c>
      <c r="O1" s="7" t="inlineStr">
        <is>
          <t>記事欄2（品名）</t>
        </is>
      </c>
      <c r="P1" s="15" t="inlineStr">
        <is>
          <t>記事欄2</t>
        </is>
      </c>
      <c r="Q1" s="7" t="inlineStr">
        <is>
          <t>記事欄3</t>
        </is>
      </c>
      <c r="R1" s="8" t="inlineStr">
        <is>
          <t>收件人省州（删）</t>
        </is>
      </c>
      <c r="S1" s="8" t="inlineStr">
        <is>
          <t>收件人城市（删）</t>
        </is>
      </c>
      <c r="T1" s="8" t="inlineStr">
        <is>
          <t>收件人地址1（删）</t>
        </is>
      </c>
      <c r="U1" s="8" t="inlineStr">
        <is>
          <t>收件人地址2（删）</t>
        </is>
      </c>
      <c r="V1" s="8" t="inlineStr">
        <is>
          <t>收件人地址3（删）</t>
        </is>
      </c>
      <c r="W1" s="8" t="inlineStr">
        <is>
          <t>发货省（删）</t>
        </is>
      </c>
      <c r="X1" s="8" t="inlineStr">
        <is>
          <t>发货市（删）</t>
        </is>
      </c>
      <c r="Y1" s="8" t="inlineStr">
        <is>
          <t>发货地址（删）</t>
        </is>
      </c>
    </row>
    <row r="2" customHeight="true" ht="33.05">
      <c r="A2" s="8" t="inlineStr">
        <is>
          <t>365027493316</t>
        </is>
      </c>
      <c r="B2" s="9" t="inlineStr">
        <is>
          <t>365027493316</t>
        </is>
      </c>
      <c r="C2" s="10"/>
      <c r="D2" s="8" t="n">
        <v>0.0</v>
      </c>
      <c r="E2" s="8" t="n">
        <v>1.0</v>
      </c>
      <c r="F2" s="11" t="inlineStr">
        <is>
          <t>堀 裕子 [ホリ ユウコ]</t>
        </is>
      </c>
      <c r="G2" s="8" t="n">
        <f>R2&amp;S2&amp;T2&amp;U2&amp;V2</f>
        <v>0.0</v>
      </c>
      <c r="H2" s="8" t="inlineStr">
        <is>
          <t>090-4935-4241</t>
        </is>
      </c>
      <c r="I2" s="8" t="inlineStr">
        <is>
          <t>182-0001</t>
        </is>
      </c>
      <c r="J2" s="8" t="inlineStr">
        <is>
          <t>楽天-和心-H</t>
        </is>
      </c>
      <c r="K2" s="8" t="n">
        <f>W2&amp;X2&amp;Y2</f>
        <v>0.0</v>
      </c>
      <c r="L2" s="8"/>
      <c r="M2" s="8" t="inlineStr">
        <is>
          <t xml:space="preserve"> 05030919965</t>
        </is>
      </c>
      <c r="N2" s="16" t="inlineStr">
        <is>
          <t>148202040055</t>
        </is>
      </c>
      <c r="O2" s="8" t="inlineStr">
        <is>
          <t>Shaking table ware</t>
        </is>
      </c>
      <c r="P2" s="8"/>
      <c r="Q2" s="8" t="inlineStr">
        <is>
          <t>365027493316</t>
        </is>
      </c>
      <c r="R2" s="8" t="inlineStr">
        <is>
          <t>東京都</t>
        </is>
      </c>
      <c r="S2" s="8" t="inlineStr">
        <is>
          <t>調布市</t>
        </is>
      </c>
      <c r="T2" s="8" t="inlineStr">
        <is>
          <t>緑ケ丘1-7-6（宅配ボックス希望）</t>
        </is>
      </c>
      <c r="U2" s="8"/>
      <c r="V2" s="8"/>
      <c r="W2" s="8"/>
      <c r="X2" s="8"/>
      <c r="Y2" s="8" t="inlineStr">
        <is>
          <t xml:space="preserve"> 東京都稲城市平尾１－１４－１７</t>
        </is>
      </c>
    </row>
    <row r="3" customHeight="true" ht="33.05">
      <c r="A3" s="8" t="inlineStr">
        <is>
          <t>365027491426</t>
        </is>
      </c>
      <c r="B3" s="9" t="inlineStr">
        <is>
          <t>365027491426</t>
        </is>
      </c>
      <c r="C3" s="10" t="n">
        <v>46005.0</v>
      </c>
      <c r="D3" s="8" t="n">
        <v>0.0</v>
      </c>
      <c r="E3" s="8" t="n">
        <v>1.0</v>
      </c>
      <c r="F3" s="11" t="inlineStr">
        <is>
          <t>高橋 亜衣美</t>
        </is>
      </c>
      <c r="G3" s="8" t="n">
        <f>R3&amp;S3&amp;T3&amp;U3&amp;V3</f>
        <v>0.0</v>
      </c>
      <c r="H3" s="8" t="inlineStr">
        <is>
          <t>090-9920-0455</t>
        </is>
      </c>
      <c r="I3" s="8" t="inlineStr">
        <is>
          <t>513-1124</t>
        </is>
      </c>
      <c r="J3" s="8" t="inlineStr">
        <is>
          <t>株式会社ｇｏｌｄ　ｒｏｏｆ</t>
        </is>
      </c>
      <c r="K3" s="8" t="n">
        <f>W3&amp;X3&amp;Y3</f>
        <v>0.0</v>
      </c>
      <c r="L3" s="8"/>
      <c r="M3" s="8" t="inlineStr">
        <is>
          <t xml:space="preserve"> 05031541189</t>
        </is>
      </c>
      <c r="N3" s="16" t="inlineStr">
        <is>
          <t>148202040055</t>
        </is>
      </c>
      <c r="O3" s="8" t="inlineStr">
        <is>
          <t>Airplane toy</t>
        </is>
      </c>
      <c r="P3" s="8"/>
      <c r="Q3" s="8" t="inlineStr">
        <is>
          <t>365027491426</t>
        </is>
      </c>
      <c r="R3" s="8" t="inlineStr">
        <is>
          <t>三重県</t>
        </is>
      </c>
      <c r="S3" s="8" t="inlineStr">
        <is>
          <t>鈴鹿市</t>
        </is>
      </c>
      <c r="T3" s="8" t="inlineStr">
        <is>
          <t>自由ヶ丘4丁目10ー25</t>
        </is>
      </c>
      <c r="U3" s="8" t="inlineStr">
        <is>
          <t/>
        </is>
      </c>
      <c r="V3" s="8" t="inlineStr">
        <is>
          <t/>
        </is>
      </c>
      <c r="W3" s="8" t="inlineStr">
        <is>
          <t>東京都</t>
        </is>
      </c>
      <c r="X3" s="8" t="inlineStr">
        <is>
          <t>新宿区</t>
        </is>
      </c>
      <c r="Y3" s="8" t="inlineStr">
        <is>
          <t xml:space="preserve"> 新宿３－７－９</t>
        </is>
      </c>
    </row>
    <row r="4" customHeight="true" ht="33.05">
      <c r="A4" s="8" t="inlineStr">
        <is>
          <t>365027468912</t>
        </is>
      </c>
      <c r="B4" s="9" t="inlineStr">
        <is>
          <t>365027468912</t>
        </is>
      </c>
      <c r="C4" s="10"/>
      <c r="D4" s="8" t="n">
        <v>0.0</v>
      </c>
      <c r="E4" s="8" t="n">
        <v>1.0</v>
      </c>
      <c r="F4" s="11" t="inlineStr">
        <is>
          <t>溝川　康之</t>
        </is>
      </c>
      <c r="G4" s="8" t="n">
        <f>R4&amp;S4&amp;T4&amp;U4&amp;V4</f>
        <v>0.0</v>
      </c>
      <c r="H4" s="8" t="inlineStr">
        <is>
          <t>08064064944</t>
        </is>
      </c>
      <c r="I4" s="8" t="inlineStr">
        <is>
          <t>899-7104</t>
        </is>
      </c>
      <c r="J4" s="8"/>
      <c r="K4" s="8" t="n">
        <f>W4&amp;X4&amp;Y4</f>
        <v>0.0</v>
      </c>
      <c r="L4" s="8"/>
      <c r="M4" s="8" t="inlineStr">
        <is>
          <t xml:space="preserve"> </t>
        </is>
      </c>
      <c r="N4" s="16" t="inlineStr">
        <is>
          <t>148202040055</t>
        </is>
      </c>
      <c r="O4" s="8" t="inlineStr">
        <is>
          <t>Laser Level</t>
        </is>
      </c>
      <c r="P4" s="8"/>
      <c r="Q4" s="8" t="inlineStr">
        <is>
          <t>365027468912</t>
        </is>
      </c>
      <c r="R4" s="8"/>
      <c r="S4" s="8"/>
      <c r="T4" s="8" t="inlineStr">
        <is>
          <t>志布志市志布志町安楽 1969 株式会社　溝川工業 鹿児島県</t>
        </is>
      </c>
      <c r="U4" s="8"/>
      <c r="V4" s="8"/>
      <c r="W4" s="8"/>
      <c r="X4" s="8"/>
      <c r="Y4" s="8" t="inlineStr">
        <is>
          <t xml:space="preserve"> </t>
        </is>
      </c>
    </row>
    <row r="5" customHeight="true" ht="33.05">
      <c r="A5" s="8" t="inlineStr">
        <is>
          <t>365027491511</t>
        </is>
      </c>
      <c r="B5" s="9" t="inlineStr">
        <is>
          <t>365027491511</t>
        </is>
      </c>
      <c r="C5" s="10"/>
      <c r="D5" s="8" t="n">
        <v>0.0</v>
      </c>
      <c r="E5" s="8" t="n">
        <v>1.0</v>
      </c>
      <c r="F5" s="11" t="inlineStr">
        <is>
          <t>池上 千夏</t>
        </is>
      </c>
      <c r="G5" s="8" t="n">
        <f>R5&amp;S5&amp;T5&amp;U5&amp;V5</f>
        <v>0.0</v>
      </c>
      <c r="H5" s="8" t="inlineStr">
        <is>
          <t>045-984-0646</t>
        </is>
      </c>
      <c r="I5" s="8" t="inlineStr">
        <is>
          <t>227-0063</t>
        </is>
      </c>
      <c r="J5" s="8" t="inlineStr">
        <is>
          <t>深圳市金斯达实业有限公司</t>
        </is>
      </c>
      <c r="K5" s="8" t="n">
        <f>W5&amp;X5&amp;Y5</f>
        <v>0.0</v>
      </c>
      <c r="L5" s="8"/>
      <c r="M5" s="8" t="inlineStr">
        <is>
          <t xml:space="preserve"> 04-7137-7848</t>
        </is>
      </c>
      <c r="N5" s="16" t="inlineStr">
        <is>
          <t>148202040055</t>
        </is>
      </c>
      <c r="O5" s="8" t="inlineStr">
        <is>
          <t>Plastic toys</t>
        </is>
      </c>
      <c r="P5" s="8"/>
      <c r="Q5" s="8" t="inlineStr">
        <is>
          <t>365027491511</t>
        </is>
      </c>
      <c r="R5" s="8" t="inlineStr">
        <is>
          <t>神奈川県</t>
        </is>
      </c>
      <c r="S5" s="8" t="inlineStr">
        <is>
          <t>横浜市青葉区</t>
        </is>
      </c>
      <c r="T5" s="8" t="inlineStr">
        <is>
          <t>榎が丘25-1ドレッセ青葉台プレエスタ111</t>
        </is>
      </c>
      <c r="U5" s="8" t="inlineStr">
        <is>
          <t/>
        </is>
      </c>
      <c r="V5" s="8" t="inlineStr">
        <is>
          <t/>
        </is>
      </c>
      <c r="W5" s="8" t="inlineStr">
        <is>
          <t>None</t>
        </is>
      </c>
      <c r="X5" s="8" t="inlineStr">
        <is>
          <t>GuangDong</t>
        </is>
      </c>
      <c r="Y5" s="8" t="inlineStr">
        <is>
          <t xml:space="preserve"> 龙华区梅坂路民乐科技大厦211室</t>
        </is>
      </c>
    </row>
    <row r="6" customHeight="true" ht="33.05">
      <c r="A6" s="8" t="inlineStr">
        <is>
          <t>365027492690</t>
        </is>
      </c>
      <c r="B6" s="9" t="inlineStr">
        <is>
          <t>365027492690</t>
        </is>
      </c>
      <c r="C6" s="10"/>
      <c r="D6" s="8" t="n">
        <v>0.0</v>
      </c>
      <c r="E6" s="8" t="n">
        <v>1.0</v>
      </c>
      <c r="F6" s="11" t="inlineStr">
        <is>
          <t>松村 光博</t>
        </is>
      </c>
      <c r="G6" s="8" t="n">
        <f>R6&amp;S6&amp;T6&amp;U6&amp;V6</f>
        <v>0.0</v>
      </c>
      <c r="H6" s="8" t="inlineStr">
        <is>
          <t>090-2694-3372</t>
        </is>
      </c>
      <c r="I6" s="8" t="inlineStr">
        <is>
          <t>069-1343</t>
        </is>
      </c>
      <c r="J6" s="8" t="inlineStr">
        <is>
          <t>JETMILLIO楽天市場店</t>
        </is>
      </c>
      <c r="K6" s="8" t="n">
        <f>W6&amp;X6&amp;Y6</f>
        <v>0.0</v>
      </c>
      <c r="L6" s="8"/>
      <c r="M6" s="8" t="inlineStr">
        <is>
          <t xml:space="preserve"> 050-3181-9787</t>
        </is>
      </c>
      <c r="N6" s="16" t="inlineStr">
        <is>
          <t>148202040055</t>
        </is>
      </c>
      <c r="O6" s="8" t="inlineStr">
        <is>
          <t>LED lights</t>
        </is>
      </c>
      <c r="P6" s="8"/>
      <c r="Q6" s="8" t="inlineStr">
        <is>
          <t>365027492690</t>
        </is>
      </c>
      <c r="R6" s="8" t="inlineStr">
        <is>
          <t>北海道</t>
        </is>
      </c>
      <c r="S6" s="8" t="inlineStr">
        <is>
          <t>夕張郡長沼町</t>
        </is>
      </c>
      <c r="T6" s="8" t="inlineStr">
        <is>
          <t>旭町北1丁目3ー17</t>
        </is>
      </c>
      <c r="U6" s="8"/>
      <c r="V6" s="8"/>
      <c r="W6" s="8"/>
      <c r="X6" s="8"/>
      <c r="Y6" s="8" t="inlineStr">
        <is>
          <t xml:space="preserve"> 東京都大田区上池台３－２４－１４スターハイツ洗足池２　２０２</t>
        </is>
      </c>
    </row>
    <row r="7" customHeight="true" ht="33.05">
      <c r="A7" s="8" t="inlineStr">
        <is>
          <t>365027493283</t>
        </is>
      </c>
      <c r="B7" s="9" t="inlineStr">
        <is>
          <t>365027493283</t>
        </is>
      </c>
      <c r="C7" s="10" t="n">
        <v>46008.0</v>
      </c>
      <c r="D7" s="8" t="n">
        <v>0.0</v>
      </c>
      <c r="E7" s="8" t="n">
        <v>1.0</v>
      </c>
      <c r="F7" s="11" t="inlineStr">
        <is>
          <t>目片 まゆみ</t>
        </is>
      </c>
      <c r="G7" s="8" t="n">
        <f>R7&amp;S7&amp;T7&amp;U7&amp;V7</f>
        <v>0.0</v>
      </c>
      <c r="H7" s="8" t="inlineStr">
        <is>
          <t>0748-60-4005</t>
        </is>
      </c>
      <c r="I7" s="8" t="inlineStr">
        <is>
          <t>529-1804</t>
        </is>
      </c>
      <c r="J7" s="8" t="inlineStr">
        <is>
          <t>I.M.P楽天市場店</t>
        </is>
      </c>
      <c r="K7" s="8" t="n">
        <f>W7&amp;X7&amp;Y7</f>
        <v>0.0</v>
      </c>
      <c r="L7" s="8"/>
      <c r="M7" s="8" t="inlineStr">
        <is>
          <t xml:space="preserve"> 050-3092-1704</t>
        </is>
      </c>
      <c r="N7" s="16" t="inlineStr">
        <is>
          <t>148202040055</t>
        </is>
      </c>
      <c r="O7" s="8" t="inlineStr">
        <is>
          <t>Plastic corner protectors</t>
        </is>
      </c>
      <c r="P7" s="8"/>
      <c r="Q7" s="8" t="inlineStr">
        <is>
          <t>365027493283</t>
        </is>
      </c>
      <c r="R7" s="8" t="inlineStr">
        <is>
          <t>滋賀県</t>
        </is>
      </c>
      <c r="S7" s="8" t="inlineStr">
        <is>
          <t>甲賀市</t>
        </is>
      </c>
      <c r="T7" s="8" t="inlineStr">
        <is>
          <t>信楽町勅旨1993 ギャラリーきりん</t>
        </is>
      </c>
      <c r="U7" s="8"/>
      <c r="V7" s="8"/>
      <c r="W7" s="8"/>
      <c r="X7" s="8"/>
      <c r="Y7" s="8" t="inlineStr">
        <is>
          <t xml:space="preserve"> 滋賀県甲賀市甲南町野尻558</t>
        </is>
      </c>
    </row>
    <row r="8" customHeight="true" ht="33.05">
      <c r="A8" s="8" t="inlineStr">
        <is>
          <t>365027492966</t>
        </is>
      </c>
      <c r="B8" s="9" t="inlineStr">
        <is>
          <t>365027492966</t>
        </is>
      </c>
      <c r="C8" s="10"/>
      <c r="D8" s="8" t="n">
        <v>0.0</v>
      </c>
      <c r="E8" s="8" t="n">
        <v>1.0</v>
      </c>
      <c r="F8" s="11" t="inlineStr">
        <is>
          <t>株式会社 東海カンパニー</t>
        </is>
      </c>
      <c r="G8" s="8" t="n">
        <f>R8&amp;S8&amp;T8&amp;U8&amp;V8</f>
        <v>0.0</v>
      </c>
      <c r="H8" s="8" t="inlineStr">
        <is>
          <t>0565-24-4111</t>
        </is>
      </c>
      <c r="I8" s="8" t="inlineStr">
        <is>
          <t>473-0908</t>
        </is>
      </c>
      <c r="J8" s="8" t="inlineStr">
        <is>
          <t>I.M.P楽天市場店</t>
        </is>
      </c>
      <c r="K8" s="8" t="n">
        <f>W8&amp;X8&amp;Y8</f>
        <v>0.0</v>
      </c>
      <c r="L8" s="8"/>
      <c r="M8" s="8" t="inlineStr">
        <is>
          <t xml:space="preserve"> 050-3092-1704</t>
        </is>
      </c>
      <c r="N8" s="16" t="inlineStr">
        <is>
          <t>148202040055</t>
        </is>
      </c>
      <c r="O8" s="8" t="inlineStr">
        <is>
          <t>clothes</t>
        </is>
      </c>
      <c r="P8" s="8"/>
      <c r="Q8" s="8" t="inlineStr">
        <is>
          <t>365027492966</t>
        </is>
      </c>
      <c r="R8" s="8" t="inlineStr">
        <is>
          <t>愛知県</t>
        </is>
      </c>
      <c r="S8" s="8" t="inlineStr">
        <is>
          <t>豊田市</t>
        </is>
      </c>
      <c r="T8" s="8" t="inlineStr">
        <is>
          <t>宝町東田25番地</t>
        </is>
      </c>
      <c r="U8" s="8"/>
      <c r="V8" s="8"/>
      <c r="W8" s="8"/>
      <c r="X8" s="8"/>
      <c r="Y8" s="8" t="inlineStr">
        <is>
          <t xml:space="preserve"> 滋賀県甲賀市甲南町野尻558</t>
        </is>
      </c>
    </row>
    <row r="9" customHeight="true" ht="33.05">
      <c r="A9" s="8" t="inlineStr">
        <is>
          <t>365027492793</t>
        </is>
      </c>
      <c r="B9" s="9" t="inlineStr">
        <is>
          <t>365027492793</t>
        </is>
      </c>
      <c r="C9" s="10"/>
      <c r="D9" s="8" t="n">
        <v>0.0</v>
      </c>
      <c r="E9" s="8" t="n">
        <v>1.0</v>
      </c>
      <c r="F9" s="11" t="inlineStr">
        <is>
          <t>廣岡 美鈴</t>
        </is>
      </c>
      <c r="G9" s="8" t="n">
        <f>R9&amp;S9&amp;T9&amp;U9&amp;V9</f>
        <v>0.0</v>
      </c>
      <c r="H9" s="8" t="inlineStr">
        <is>
          <t>090-5056-3784</t>
        </is>
      </c>
      <c r="I9" s="8" t="inlineStr">
        <is>
          <t>620-0342</t>
        </is>
      </c>
      <c r="J9" s="8" t="inlineStr">
        <is>
          <t>UT.village</t>
        </is>
      </c>
      <c r="K9" s="8" t="n">
        <f>W9&amp;X9&amp;Y9</f>
        <v>0.0</v>
      </c>
      <c r="L9" s="8"/>
      <c r="M9" s="8" t="inlineStr">
        <is>
          <t xml:space="preserve"> 05030979484</t>
        </is>
      </c>
      <c r="N9" s="16" t="inlineStr">
        <is>
          <t>148202040055</t>
        </is>
      </c>
      <c r="O9" s="8" t="inlineStr">
        <is>
          <t>DIY Tools,Waterproof coating</t>
        </is>
      </c>
      <c r="P9" s="8"/>
      <c r="Q9" s="8" t="inlineStr">
        <is>
          <t>365027492793</t>
        </is>
      </c>
      <c r="R9" s="8" t="inlineStr">
        <is>
          <t>京都府</t>
        </is>
      </c>
      <c r="S9" s="8" t="inlineStr">
        <is>
          <t>福知山市</t>
        </is>
      </c>
      <c r="T9" s="8" t="inlineStr">
        <is>
          <t>大江町南有路1208</t>
        </is>
      </c>
      <c r="U9" s="8"/>
      <c r="V9" s="8"/>
      <c r="W9" s="8"/>
      <c r="X9" s="8"/>
      <c r="Y9" s="8" t="inlineStr">
        <is>
          <t xml:space="preserve"> 神奈川県川崎市高津区下作延２－２２－５クレイノアクアパレス２０５</t>
        </is>
      </c>
    </row>
    <row r="10" customHeight="true" ht="33.05">
      <c r="A10" s="8" t="inlineStr">
        <is>
          <t>365027492874</t>
        </is>
      </c>
      <c r="B10" s="9" t="inlineStr">
        <is>
          <t>365027492874</t>
        </is>
      </c>
      <c r="C10" s="10"/>
      <c r="D10" s="8" t="n">
        <v>0.0</v>
      </c>
      <c r="E10" s="8" t="n">
        <v>1.0</v>
      </c>
      <c r="F10" s="11" t="inlineStr">
        <is>
          <t>佐藤 蛍</t>
        </is>
      </c>
      <c r="G10" s="8" t="n">
        <f>R10&amp;S10&amp;T10&amp;U10&amp;V10</f>
        <v>0.0</v>
      </c>
      <c r="H10" s="8" t="inlineStr">
        <is>
          <t>080-1872-0576</t>
        </is>
      </c>
      <c r="I10" s="8" t="inlineStr">
        <is>
          <t>041-1603</t>
        </is>
      </c>
      <c r="J10" s="8" t="inlineStr">
        <is>
          <t>UT.village</t>
        </is>
      </c>
      <c r="K10" s="8" t="n">
        <f>W10&amp;X10&amp;Y10</f>
        <v>0.0</v>
      </c>
      <c r="L10" s="8"/>
      <c r="M10" s="8" t="inlineStr">
        <is>
          <t xml:space="preserve"> 05030979484</t>
        </is>
      </c>
      <c r="N10" s="16" t="inlineStr">
        <is>
          <t>148202040055</t>
        </is>
      </c>
      <c r="O10" s="8" t="inlineStr">
        <is>
          <t>Jewelry Box</t>
        </is>
      </c>
      <c r="P10" s="8"/>
      <c r="Q10" s="8" t="inlineStr">
        <is>
          <t>365027492874</t>
        </is>
      </c>
      <c r="R10" s="8" t="inlineStr">
        <is>
          <t>北海道</t>
        </is>
      </c>
      <c r="S10" s="8" t="inlineStr">
        <is>
          <t>函館市</t>
        </is>
      </c>
      <c r="T10" s="8" t="inlineStr">
        <is>
          <t>尾札部町1945-3</t>
        </is>
      </c>
      <c r="U10" s="8"/>
      <c r="V10" s="8"/>
      <c r="W10" s="8"/>
      <c r="X10" s="8"/>
      <c r="Y10" s="8" t="inlineStr">
        <is>
          <t xml:space="preserve"> 神奈川県川崎市高津区下作延２－２２－５クレイノアクアパレス２０５</t>
        </is>
      </c>
    </row>
    <row r="11" customHeight="true" ht="33.05">
      <c r="A11" s="8" t="inlineStr">
        <is>
          <t>365027493320</t>
        </is>
      </c>
      <c r="B11" s="9" t="inlineStr">
        <is>
          <t>365027493320</t>
        </is>
      </c>
      <c r="C11" s="10"/>
      <c r="D11" s="8" t="n">
        <v>0.0</v>
      </c>
      <c r="E11" s="8" t="n">
        <v>1.0</v>
      </c>
      <c r="F11" s="11" t="inlineStr">
        <is>
          <t>阪ノ下 芽美 [サカノシタ メイミ]</t>
        </is>
      </c>
      <c r="G11" s="8" t="n">
        <f>R11&amp;S11&amp;T11&amp;U11&amp;V11</f>
        <v>0.0</v>
      </c>
      <c r="H11" s="8" t="inlineStr">
        <is>
          <t>080-4313-6793</t>
        </is>
      </c>
      <c r="I11" s="8" t="inlineStr">
        <is>
          <t>227-0054</t>
        </is>
      </c>
      <c r="J11" s="8" t="inlineStr">
        <is>
          <t>楽天-ヤナストア</t>
        </is>
      </c>
      <c r="K11" s="8" t="n">
        <f>W11&amp;X11&amp;Y11</f>
        <v>0.0</v>
      </c>
      <c r="L11" s="8"/>
      <c r="M11" s="8" t="inlineStr">
        <is>
          <t xml:space="preserve"> 0671670298</t>
        </is>
      </c>
      <c r="N11" s="16" t="inlineStr">
        <is>
          <t>148202040055</t>
        </is>
      </c>
      <c r="O11" s="8" t="inlineStr">
        <is>
          <t>lamp</t>
        </is>
      </c>
      <c r="P11" s="8"/>
      <c r="Q11" s="8" t="inlineStr">
        <is>
          <t>365027493320</t>
        </is>
      </c>
      <c r="R11" s="8" t="inlineStr">
        <is>
          <t>神奈川県</t>
        </is>
      </c>
      <c r="S11" s="8" t="inlineStr">
        <is>
          <t>横浜市青葉区しらとり台</t>
        </is>
      </c>
      <c r="T11" s="8" t="inlineStr">
        <is>
          <t>62-1 Novem しらとり台 9</t>
        </is>
      </c>
      <c r="U11" s="8"/>
      <c r="V11" s="8"/>
      <c r="W11" s="8"/>
      <c r="X11" s="8"/>
      <c r="Y11" s="8" t="inlineStr">
        <is>
          <t xml:space="preserve"> 上野芝町2－5－1－５０７</t>
        </is>
      </c>
    </row>
    <row r="12" customHeight="true" ht="33.05">
      <c r="A12" s="8" t="inlineStr">
        <is>
          <t>365027493213</t>
        </is>
      </c>
      <c r="B12" s="9" t="inlineStr">
        <is>
          <t>365027493213</t>
        </is>
      </c>
      <c r="C12" s="10"/>
      <c r="D12" s="8" t="n">
        <v>0.0</v>
      </c>
      <c r="E12" s="8" t="n">
        <v>1.0</v>
      </c>
      <c r="F12" s="11" t="inlineStr">
        <is>
          <t>株式会社 カラオケエンタテイメント [カブシキガイシャ カラオケエンタテイメント]</t>
        </is>
      </c>
      <c r="G12" s="8" t="n">
        <f>R12&amp;S12&amp;T12&amp;U12&amp;V12</f>
        <v>0.0</v>
      </c>
      <c r="H12" s="8" t="inlineStr">
        <is>
          <t>03-3291-1295</t>
        </is>
      </c>
      <c r="I12" s="8" t="inlineStr">
        <is>
          <t>101-0051</t>
        </is>
      </c>
      <c r="J12" s="8" t="inlineStr">
        <is>
          <t>楽天-eightyone-H</t>
        </is>
      </c>
      <c r="K12" s="8" t="n">
        <f>W12&amp;X12&amp;Y12</f>
        <v>0.0</v>
      </c>
      <c r="L12" s="8"/>
      <c r="M12" s="8" t="inlineStr">
        <is>
          <t xml:space="preserve"> 036-161-6083</t>
        </is>
      </c>
      <c r="N12" s="16" t="inlineStr">
        <is>
          <t>148202040055</t>
        </is>
      </c>
      <c r="O12" s="8" t="inlineStr">
        <is>
          <t>Plastic toys</t>
        </is>
      </c>
      <c r="P12" s="8"/>
      <c r="Q12" s="8" t="inlineStr">
        <is>
          <t>365027493213</t>
        </is>
      </c>
      <c r="R12" s="8" t="inlineStr">
        <is>
          <t>東京都</t>
        </is>
      </c>
      <c r="S12" s="8" t="inlineStr">
        <is>
          <t>千代田区</t>
        </is>
      </c>
      <c r="T12" s="8" t="inlineStr">
        <is>
          <t>神田神保町1-2</t>
        </is>
      </c>
      <c r="U12" s="8"/>
      <c r="V12" s="8"/>
      <c r="W12" s="8"/>
      <c r="X12" s="8"/>
      <c r="Y12" s="8" t="inlineStr">
        <is>
          <t xml:space="preserve"> 東京都品川区平塚1-13-1</t>
        </is>
      </c>
    </row>
    <row r="13" customHeight="true" ht="33.05">
      <c r="A13" s="8" t="inlineStr">
        <is>
          <t>365027493773</t>
        </is>
      </c>
      <c r="B13" s="9" t="inlineStr">
        <is>
          <t>365027493773</t>
        </is>
      </c>
      <c r="C13" s="10"/>
      <c r="D13" s="8" t="n">
        <v>0.0</v>
      </c>
      <c r="E13" s="8" t="n">
        <v>1.0</v>
      </c>
      <c r="F13" s="11" t="inlineStr">
        <is>
          <t>野村 京</t>
        </is>
      </c>
      <c r="G13" s="8" t="n">
        <f>R13&amp;S13&amp;T13&amp;U13&amp;V13</f>
        <v>0.0</v>
      </c>
      <c r="H13" s="8" t="inlineStr">
        <is>
          <t>03-5937-0883</t>
        </is>
      </c>
      <c r="I13" s="8" t="inlineStr">
        <is>
          <t>160-0023</t>
        </is>
      </c>
      <c r="J13" s="8"/>
      <c r="K13" s="8" t="n">
        <f>W13&amp;X13&amp;Y13</f>
        <v>0.0</v>
      </c>
      <c r="L13" s="8"/>
      <c r="M13" s="8" t="inlineStr">
        <is>
          <t xml:space="preserve"> </t>
        </is>
      </c>
      <c r="N13" s="16" t="inlineStr">
        <is>
          <t>148202040055</t>
        </is>
      </c>
      <c r="O13" s="8" t="inlineStr">
        <is>
          <t>Storage Box</t>
        </is>
      </c>
      <c r="P13" s="8"/>
      <c r="Q13" s="8" t="inlineStr">
        <is>
          <t>365027493773</t>
        </is>
      </c>
      <c r="R13" s="8"/>
      <c r="S13" s="8"/>
      <c r="T13" s="8" t="inlineStr">
        <is>
          <t>東京都新宿区西新宿7丁目1-12　 Crossoffice新宿705</t>
        </is>
      </c>
      <c r="U13" s="8"/>
      <c r="V13" s="8"/>
      <c r="W13" s="8"/>
      <c r="X13" s="8"/>
      <c r="Y13" s="8" t="inlineStr">
        <is>
          <t xml:space="preserve"> </t>
        </is>
      </c>
    </row>
    <row r="14" customHeight="true" ht="33.05">
      <c r="A14" s="8" t="inlineStr">
        <is>
          <t>365027493261</t>
        </is>
      </c>
      <c r="B14" s="9" t="inlineStr">
        <is>
          <t>365027493261</t>
        </is>
      </c>
      <c r="C14" s="10"/>
      <c r="D14" s="8" t="n">
        <v>0.0</v>
      </c>
      <c r="E14" s="8" t="n">
        <v>1.0</v>
      </c>
      <c r="F14" s="11" t="inlineStr">
        <is>
          <t>生頼 悦子</t>
        </is>
      </c>
      <c r="G14" s="8" t="n">
        <f>R14&amp;S14&amp;T14&amp;U14&amp;V14</f>
        <v>0.0</v>
      </c>
      <c r="H14" s="8" t="inlineStr">
        <is>
          <t>08010978274</t>
        </is>
      </c>
      <c r="I14" s="8" t="inlineStr">
        <is>
          <t>225-0022</t>
        </is>
      </c>
      <c r="J14" s="8" t="inlineStr">
        <is>
          <t>鯨山-kingyama</t>
        </is>
      </c>
      <c r="K14" s="8" t="n">
        <f>W14&amp;X14&amp;Y14</f>
        <v>0.0</v>
      </c>
      <c r="L14" s="8"/>
      <c r="M14" s="8" t="inlineStr">
        <is>
          <t xml:space="preserve"> 050-5856-0970</t>
        </is>
      </c>
      <c r="N14" s="16" t="inlineStr">
        <is>
          <t>148202040055</t>
        </is>
      </c>
      <c r="O14" s="8" t="inlineStr">
        <is>
          <t>Solar outdoor lamp</t>
        </is>
      </c>
      <c r="P14" s="8"/>
      <c r="Q14" s="8" t="inlineStr">
        <is>
          <t>365027493261</t>
        </is>
      </c>
      <c r="R14" s="8" t="inlineStr">
        <is>
          <t>神奈川県</t>
        </is>
      </c>
      <c r="S14" s="8" t="inlineStr">
        <is>
          <t>横浜市青葉区</t>
        </is>
      </c>
      <c r="T14" s="8" t="inlineStr">
        <is>
          <t>黒須田31-52</t>
        </is>
      </c>
      <c r="U14" s="8"/>
      <c r="V14" s="8"/>
      <c r="W14" s="8"/>
      <c r="X14" s="8"/>
      <c r="Y14" s="8" t="inlineStr">
        <is>
          <t xml:space="preserve"> 大阪市西成区3丁目5番14号FDS ENISHI303</t>
        </is>
      </c>
    </row>
    <row r="15" customHeight="true" ht="33.05">
      <c r="A15" s="8" t="inlineStr">
        <is>
          <t>365027493563</t>
        </is>
      </c>
      <c r="B15" s="9" t="inlineStr">
        <is>
          <t>365027493563</t>
        </is>
      </c>
      <c r="C15" s="10"/>
      <c r="D15" s="8" t="n">
        <v>0.0</v>
      </c>
      <c r="E15" s="8" t="n">
        <v>1.0</v>
      </c>
      <c r="F15" s="11" t="inlineStr">
        <is>
          <t>片岡 優介</t>
        </is>
      </c>
      <c r="G15" s="8" t="n">
        <f>R15&amp;S15&amp;T15&amp;U15&amp;V15</f>
        <v>0.0</v>
      </c>
      <c r="H15" s="8" t="inlineStr">
        <is>
          <t>090-1984-6867</t>
        </is>
      </c>
      <c r="I15" s="8" t="inlineStr">
        <is>
          <t>428-0009</t>
        </is>
      </c>
      <c r="J15" s="8" t="inlineStr">
        <is>
          <t/>
        </is>
      </c>
      <c r="K15" s="8" t="n">
        <f>W15&amp;X15&amp;Y15</f>
        <v>0.0</v>
      </c>
      <c r="L15" s="8"/>
      <c r="M15" s="8" t="inlineStr">
        <is>
          <t xml:space="preserve"> 08085450013</t>
        </is>
      </c>
      <c r="N15" s="16" t="inlineStr">
        <is>
          <t>148202040055</t>
        </is>
      </c>
      <c r="O15" s="8" t="inlineStr">
        <is>
          <t>armrest box</t>
        </is>
      </c>
      <c r="P15" s="8"/>
      <c r="Q15" s="8" t="inlineStr">
        <is>
          <t>365027493563</t>
        </is>
      </c>
      <c r="R15" s="8" t="inlineStr">
        <is>
          <t>静岡県</t>
        </is>
      </c>
      <c r="S15" s="8" t="inlineStr">
        <is>
          <t>島田市</t>
        </is>
      </c>
      <c r="T15" s="8" t="inlineStr">
        <is>
          <t>大代1649番地の1</t>
        </is>
      </c>
      <c r="U15" s="8" t="inlineStr">
        <is>
          <t/>
        </is>
      </c>
      <c r="V15" s="8" t="inlineStr">
        <is>
          <t/>
        </is>
      </c>
      <c r="W15" s="8" t="inlineStr">
        <is>
          <t>大阪府</t>
        </is>
      </c>
      <c r="X15" s="8" t="inlineStr">
        <is>
          <t>堺市</t>
        </is>
      </c>
      <c r="Y15" s="8" t="inlineStr">
        <is>
          <t xml:space="preserve"> 中百舌鳥町6丁目１００１-5盲亀浮木の店</t>
        </is>
      </c>
    </row>
    <row r="16" customHeight="true" ht="33.05">
      <c r="A16" s="8" t="inlineStr">
        <is>
          <t>365027492830</t>
        </is>
      </c>
      <c r="B16" s="9" t="inlineStr">
        <is>
          <t>365027492830</t>
        </is>
      </c>
      <c r="C16" s="10"/>
      <c r="D16" s="8" t="n">
        <v>0.0</v>
      </c>
      <c r="E16" s="8" t="n">
        <v>1.0</v>
      </c>
      <c r="F16" s="11" t="inlineStr">
        <is>
          <t>八木 和佳</t>
        </is>
      </c>
      <c r="G16" s="8" t="n">
        <f>R16&amp;S16&amp;T16&amp;U16&amp;V16</f>
        <v>0.0</v>
      </c>
      <c r="H16" s="8" t="inlineStr">
        <is>
          <t>090-8111-6263</t>
        </is>
      </c>
      <c r="I16" s="8" t="inlineStr">
        <is>
          <t>370-0343</t>
        </is>
      </c>
      <c r="J16" s="8" t="inlineStr">
        <is>
          <t>JETMILLIO楽天市場店</t>
        </is>
      </c>
      <c r="K16" s="8" t="n">
        <f>W16&amp;X16&amp;Y16</f>
        <v>0.0</v>
      </c>
      <c r="L16" s="8"/>
      <c r="M16" s="8" t="inlineStr">
        <is>
          <t xml:space="preserve"> 050-3181-9787</t>
        </is>
      </c>
      <c r="N16" s="16" t="inlineStr">
        <is>
          <t>148202040055</t>
        </is>
      </c>
      <c r="O16" s="8" t="inlineStr">
        <is>
          <t>Cup</t>
        </is>
      </c>
      <c r="P16" s="8"/>
      <c r="Q16" s="8" t="inlineStr">
        <is>
          <t>365027492830</t>
        </is>
      </c>
      <c r="R16" s="8" t="inlineStr">
        <is>
          <t>群馬県</t>
        </is>
      </c>
      <c r="S16" s="8" t="inlineStr">
        <is>
          <t>太田市09081116263</t>
        </is>
      </c>
      <c r="T16" s="8" t="inlineStr">
        <is>
          <t>新田下田中町373-1 東亜工業株式会社 住宅事業部 業務部 業務課 八木和佳宛</t>
        </is>
      </c>
      <c r="U16" s="8"/>
      <c r="V16" s="8"/>
      <c r="W16" s="8"/>
      <c r="X16" s="8"/>
      <c r="Y16" s="8" t="inlineStr">
        <is>
          <t xml:space="preserve"> 東京都大田区上池台３－２４－１４スターハイツ洗足池２　２０２</t>
        </is>
      </c>
    </row>
    <row r="17" customHeight="true" ht="33.05">
      <c r="A17" s="8" t="inlineStr">
        <is>
          <t>365027492900</t>
        </is>
      </c>
      <c r="B17" s="9" t="inlineStr">
        <is>
          <t>365027492900</t>
        </is>
      </c>
      <c r="C17" s="10"/>
      <c r="D17" s="8" t="n">
        <v>0.0</v>
      </c>
      <c r="E17" s="8" t="n">
        <v>1.0</v>
      </c>
      <c r="F17" s="11" t="inlineStr">
        <is>
          <t>大倉 美紅</t>
        </is>
      </c>
      <c r="G17" s="8" t="n">
        <f>R17&amp;S17&amp;T17&amp;U17&amp;V17</f>
        <v>0.0</v>
      </c>
      <c r="H17" s="8" t="inlineStr">
        <is>
          <t>090-3877-0039</t>
        </is>
      </c>
      <c r="I17" s="8" t="inlineStr">
        <is>
          <t>739-0024</t>
        </is>
      </c>
      <c r="J17" s="8" t="inlineStr">
        <is>
          <t>I.M.P楽天市場店</t>
        </is>
      </c>
      <c r="K17" s="8" t="n">
        <f>W17&amp;X17&amp;Y17</f>
        <v>0.0</v>
      </c>
      <c r="L17" s="8"/>
      <c r="M17" s="8" t="inlineStr">
        <is>
          <t xml:space="preserve"> 050-3092-1704</t>
        </is>
      </c>
      <c r="N17" s="16" t="inlineStr">
        <is>
          <t>148202040055</t>
        </is>
      </c>
      <c r="O17" s="8" t="inlineStr">
        <is>
          <t>baking mold</t>
        </is>
      </c>
      <c r="P17" s="8"/>
      <c r="Q17" s="8" t="inlineStr">
        <is>
          <t>365027492900</t>
        </is>
      </c>
      <c r="R17" s="8" t="inlineStr">
        <is>
          <t>広島県</t>
        </is>
      </c>
      <c r="S17" s="8" t="inlineStr">
        <is>
          <t>東広島市</t>
        </is>
      </c>
      <c r="T17" s="8" t="inlineStr">
        <is>
          <t>西条町御薗宇5288-1 ロンディネA204</t>
        </is>
      </c>
      <c r="U17" s="8"/>
      <c r="V17" s="8"/>
      <c r="W17" s="8"/>
      <c r="X17" s="8"/>
      <c r="Y17" s="8" t="inlineStr">
        <is>
          <t xml:space="preserve"> 滋賀県甲賀市甲南町野尻558</t>
        </is>
      </c>
    </row>
    <row r="18" customHeight="true" ht="33.05">
      <c r="A18" s="8" t="inlineStr">
        <is>
          <t>365027492863</t>
        </is>
      </c>
      <c r="B18" s="9" t="inlineStr">
        <is>
          <t>365027492863</t>
        </is>
      </c>
      <c r="C18" s="10"/>
      <c r="D18" s="8" t="n">
        <v>0.0</v>
      </c>
      <c r="E18" s="8" t="n">
        <v>1.0</v>
      </c>
      <c r="F18" s="11" t="inlineStr">
        <is>
          <t>松谷 史子</t>
        </is>
      </c>
      <c r="G18" s="8" t="n">
        <f>R18&amp;S18&amp;T18&amp;U18&amp;V18</f>
        <v>0.0</v>
      </c>
      <c r="H18" s="8" t="inlineStr">
        <is>
          <t>011-531-5710</t>
        </is>
      </c>
      <c r="I18" s="8" t="inlineStr">
        <is>
          <t>064-0914</t>
        </is>
      </c>
      <c r="J18" s="8" t="inlineStr">
        <is>
          <t>FINTRUE</t>
        </is>
      </c>
      <c r="K18" s="8" t="n">
        <f>W18&amp;X18&amp;Y18</f>
        <v>0.0</v>
      </c>
      <c r="L18" s="8"/>
      <c r="M18" s="8" t="inlineStr">
        <is>
          <t xml:space="preserve"> 05058401648</t>
        </is>
      </c>
      <c r="N18" s="16" t="inlineStr">
        <is>
          <t>148202040055</t>
        </is>
      </c>
      <c r="O18" s="8" t="inlineStr">
        <is>
          <t>Cleaning supplies</t>
        </is>
      </c>
      <c r="P18" s="8"/>
      <c r="Q18" s="8" t="inlineStr">
        <is>
          <t>365027492863</t>
        </is>
      </c>
      <c r="R18" s="8" t="inlineStr">
        <is>
          <t>北海道</t>
        </is>
      </c>
      <c r="S18" s="8" t="inlineStr">
        <is>
          <t>札幌市中央区</t>
        </is>
      </c>
      <c r="T18" s="8" t="inlineStr">
        <is>
          <t>南十四条西18丁目5-27 グランエスセーナ701</t>
        </is>
      </c>
      <c r="U18" s="8"/>
      <c r="V18" s="8"/>
      <c r="W18" s="8"/>
      <c r="X18" s="8"/>
      <c r="Y18" s="8" t="inlineStr">
        <is>
          <t xml:space="preserve"> 大阪府大阪市中央区安堂寺町2-1-3-901</t>
        </is>
      </c>
    </row>
    <row r="19" customHeight="true" ht="33.05">
      <c r="A19" s="8" t="inlineStr">
        <is>
          <t>365027492686</t>
        </is>
      </c>
      <c r="B19" s="9" t="inlineStr">
        <is>
          <t>365027492686</t>
        </is>
      </c>
      <c r="C19" s="10"/>
      <c r="D19" s="8" t="n">
        <v>0.0</v>
      </c>
      <c r="E19" s="8" t="n">
        <v>1.0</v>
      </c>
      <c r="F19" s="11" t="inlineStr">
        <is>
          <t>奥山 学</t>
        </is>
      </c>
      <c r="G19" s="8" t="n">
        <f>R19&amp;S19&amp;T19&amp;U19&amp;V19</f>
        <v>0.0</v>
      </c>
      <c r="H19" s="8" t="inlineStr">
        <is>
          <t>018-807-0155</t>
        </is>
      </c>
      <c r="I19" s="8" t="inlineStr">
        <is>
          <t>010-0043</t>
        </is>
      </c>
      <c r="J19" s="8" t="inlineStr">
        <is>
          <t>ジョシュミル</t>
        </is>
      </c>
      <c r="K19" s="8" t="n">
        <f>W19&amp;X19&amp;Y19</f>
        <v>0.0</v>
      </c>
      <c r="L19" s="8"/>
      <c r="M19" s="8" t="inlineStr">
        <is>
          <t xml:space="preserve"> 050-3092-1704</t>
        </is>
      </c>
      <c r="N19" s="16" t="inlineStr">
        <is>
          <t>148202040055</t>
        </is>
      </c>
      <c r="O19" s="8" t="inlineStr">
        <is>
          <t>pet anti-scratch spray</t>
        </is>
      </c>
      <c r="P19" s="8"/>
      <c r="Q19" s="8" t="inlineStr">
        <is>
          <t>365027492686</t>
        </is>
      </c>
      <c r="R19" s="8" t="inlineStr">
        <is>
          <t>秋田県</t>
        </is>
      </c>
      <c r="S19" s="8" t="inlineStr">
        <is>
          <t>秋田市</t>
        </is>
      </c>
      <c r="T19" s="8" t="inlineStr">
        <is>
          <t>桜ガ丘3丁目7-15</t>
        </is>
      </c>
      <c r="U19" s="8"/>
      <c r="V19" s="8"/>
      <c r="W19" s="8"/>
      <c r="X19" s="8"/>
      <c r="Y19" s="8" t="inlineStr">
        <is>
          <t xml:space="preserve"> 山形県山形市上町２－９－５</t>
        </is>
      </c>
    </row>
    <row r="20" customHeight="true" ht="33.05">
      <c r="A20" s="8" t="inlineStr">
        <is>
          <t>365027492815</t>
        </is>
      </c>
      <c r="B20" s="9" t="inlineStr">
        <is>
          <t>365027492815</t>
        </is>
      </c>
      <c r="C20" s="10" t="n">
        <v>46008.0</v>
      </c>
      <c r="D20" s="8" t="n">
        <v>16.0</v>
      </c>
      <c r="E20" s="8" t="n">
        <v>1.0</v>
      </c>
      <c r="F20" s="11" t="inlineStr">
        <is>
          <t>戸高 太輔</t>
        </is>
      </c>
      <c r="G20" s="8" t="n">
        <f>R20&amp;S20&amp;T20&amp;U20&amp;V20</f>
        <v>0.0</v>
      </c>
      <c r="H20" s="8" t="inlineStr">
        <is>
          <t>053-489-3354</t>
        </is>
      </c>
      <c r="I20" s="8" t="inlineStr">
        <is>
          <t>431-0103</t>
        </is>
      </c>
      <c r="J20" s="8" t="inlineStr">
        <is>
          <t>I.M.P楽天市場店</t>
        </is>
      </c>
      <c r="K20" s="8" t="n">
        <f>W20&amp;X20&amp;Y20</f>
        <v>0.0</v>
      </c>
      <c r="L20" s="8"/>
      <c r="M20" s="8" t="inlineStr">
        <is>
          <t xml:space="preserve"> 050-3092-1704</t>
        </is>
      </c>
      <c r="N20" s="16" t="inlineStr">
        <is>
          <t>148202040055</t>
        </is>
      </c>
      <c r="O20" s="8" t="inlineStr">
        <is>
          <t>Toys</t>
        </is>
      </c>
      <c r="P20" s="8"/>
      <c r="Q20" s="8" t="inlineStr">
        <is>
          <t>365027492815</t>
        </is>
      </c>
      <c r="R20" s="8" t="inlineStr">
        <is>
          <t>静岡県</t>
        </is>
      </c>
      <c r="S20" s="8" t="inlineStr">
        <is>
          <t>浜松市中央区</t>
        </is>
      </c>
      <c r="T20" s="8" t="inlineStr">
        <is>
          <t>雄踏1丁目7-20</t>
        </is>
      </c>
      <c r="U20" s="8"/>
      <c r="V20" s="8"/>
      <c r="W20" s="8"/>
      <c r="X20" s="8"/>
      <c r="Y20" s="8" t="inlineStr">
        <is>
          <t xml:space="preserve"> 滋賀県甲賀市甲南町野尻558</t>
        </is>
      </c>
    </row>
    <row r="21" customHeight="true" ht="33.05">
      <c r="A21" s="8" t="inlineStr">
        <is>
          <t>365027492911</t>
        </is>
      </c>
      <c r="B21" s="9" t="inlineStr">
        <is>
          <t>365027492911</t>
        </is>
      </c>
      <c r="C21" s="10" t="n">
        <v>46013.0</v>
      </c>
      <c r="D21" s="8" t="n">
        <v>14.0</v>
      </c>
      <c r="E21" s="8" t="n">
        <v>1.0</v>
      </c>
      <c r="F21" s="11" t="inlineStr">
        <is>
          <t>塩屋 歩</t>
        </is>
      </c>
      <c r="G21" s="8" t="n">
        <f>R21&amp;S21&amp;T21&amp;U21&amp;V21</f>
        <v>0.0</v>
      </c>
      <c r="H21" s="8" t="inlineStr">
        <is>
          <t>090-2060-5608</t>
        </is>
      </c>
      <c r="I21" s="8" t="inlineStr">
        <is>
          <t>545-0043</t>
        </is>
      </c>
      <c r="J21" s="8" t="inlineStr">
        <is>
          <t>I.M.P楽天市場店</t>
        </is>
      </c>
      <c r="K21" s="8" t="n">
        <f>W21&amp;X21&amp;Y21</f>
        <v>0.0</v>
      </c>
      <c r="L21" s="8"/>
      <c r="M21" s="8" t="inlineStr">
        <is>
          <t xml:space="preserve"> 050-3092-1704</t>
        </is>
      </c>
      <c r="N21" s="16" t="inlineStr">
        <is>
          <t>148202040055</t>
        </is>
      </c>
      <c r="O21" s="8" t="inlineStr">
        <is>
          <t>Beach toys</t>
        </is>
      </c>
      <c r="P21" s="8"/>
      <c r="Q21" s="8" t="inlineStr">
        <is>
          <t>365027492911</t>
        </is>
      </c>
      <c r="R21" s="8" t="inlineStr">
        <is>
          <t>大阪府</t>
        </is>
      </c>
      <c r="S21" s="8" t="inlineStr">
        <is>
          <t>大阪市阿倍野区</t>
        </is>
      </c>
      <c r="T21" s="8" t="inlineStr">
        <is>
          <t>松虫通2-4-4</t>
        </is>
      </c>
      <c r="U21" s="8"/>
      <c r="V21" s="8"/>
      <c r="W21" s="8"/>
      <c r="X21" s="8"/>
      <c r="Y21" s="8" t="inlineStr">
        <is>
          <t xml:space="preserve"> 滋賀県甲賀市甲南町野尻558</t>
        </is>
      </c>
    </row>
    <row r="22" customHeight="true" ht="33.05">
      <c r="A22" s="8" t="inlineStr">
        <is>
          <t>365027492826</t>
        </is>
      </c>
      <c r="B22" s="9" t="inlineStr">
        <is>
          <t>365027492826</t>
        </is>
      </c>
      <c r="C22" s="10"/>
      <c r="D22" s="8" t="n">
        <v>0.0</v>
      </c>
      <c r="E22" s="8" t="n">
        <v>1.0</v>
      </c>
      <c r="F22" s="11" t="inlineStr">
        <is>
          <t>上久保 嘉裕</t>
        </is>
      </c>
      <c r="G22" s="8" t="n">
        <f>R22&amp;S22&amp;T22&amp;U22&amp;V22</f>
        <v>0.0</v>
      </c>
      <c r="H22" s="8" t="inlineStr">
        <is>
          <t>04-2964-5467</t>
        </is>
      </c>
      <c r="I22" s="8" t="inlineStr">
        <is>
          <t>358-0031</t>
        </is>
      </c>
      <c r="J22" s="8" t="inlineStr">
        <is>
          <t>ジョシュミル</t>
        </is>
      </c>
      <c r="K22" s="8" t="n">
        <f>W22&amp;X22&amp;Y22</f>
        <v>0.0</v>
      </c>
      <c r="L22" s="8"/>
      <c r="M22" s="8" t="inlineStr">
        <is>
          <t xml:space="preserve"> 050-3092-1704</t>
        </is>
      </c>
      <c r="N22" s="16" t="inlineStr">
        <is>
          <t>148202040055</t>
        </is>
      </c>
      <c r="O22" s="8" t="inlineStr">
        <is>
          <t>Cleaning products</t>
        </is>
      </c>
      <c r="P22" s="8"/>
      <c r="Q22" s="8" t="inlineStr">
        <is>
          <t>365027492826</t>
        </is>
      </c>
      <c r="R22" s="8" t="inlineStr">
        <is>
          <t>埼玉県</t>
        </is>
      </c>
      <c r="S22" s="8" t="inlineStr">
        <is>
          <t>入間市</t>
        </is>
      </c>
      <c r="T22" s="8" t="inlineStr">
        <is>
          <t>新久936-14</t>
        </is>
      </c>
      <c r="U22" s="8"/>
      <c r="V22" s="8"/>
      <c r="W22" s="8"/>
      <c r="X22" s="8"/>
      <c r="Y22" s="8" t="inlineStr">
        <is>
          <t xml:space="preserve"> 山形県山形市上町２－９－５</t>
        </is>
      </c>
    </row>
    <row r="23" customHeight="true" ht="33.05">
      <c r="A23" s="8" t="inlineStr">
        <is>
          <t>365027493250</t>
        </is>
      </c>
      <c r="B23" s="9" t="inlineStr">
        <is>
          <t>365027493250</t>
        </is>
      </c>
      <c r="C23" s="10"/>
      <c r="D23" s="8" t="n">
        <v>0.0</v>
      </c>
      <c r="E23" s="8" t="n">
        <v>1.0</v>
      </c>
      <c r="F23" s="11" t="inlineStr">
        <is>
          <t>山崎 亜矢子</t>
        </is>
      </c>
      <c r="G23" s="8" t="n">
        <f>R23&amp;S23&amp;T23&amp;U23&amp;V23</f>
        <v>0.0</v>
      </c>
      <c r="H23" s="8" t="inlineStr">
        <is>
          <t>090-2691-4664</t>
        </is>
      </c>
      <c r="I23" s="8" t="inlineStr">
        <is>
          <t>086-1021</t>
        </is>
      </c>
      <c r="J23" s="8" t="inlineStr">
        <is>
          <t>ラッキーストライク</t>
        </is>
      </c>
      <c r="K23" s="8" t="n">
        <f>W23&amp;X23&amp;Y23</f>
        <v>0.0</v>
      </c>
      <c r="L23" s="8"/>
      <c r="M23" s="8" t="inlineStr">
        <is>
          <t xml:space="preserve"> 05030911547</t>
        </is>
      </c>
      <c r="N23" s="16" t="inlineStr">
        <is>
          <t>148202040055</t>
        </is>
      </c>
      <c r="O23" s="8" t="inlineStr">
        <is>
          <t>Christmas hat</t>
        </is>
      </c>
      <c r="P23" s="8"/>
      <c r="Q23" s="8" t="inlineStr">
        <is>
          <t>365027493250</t>
        </is>
      </c>
      <c r="R23" s="8" t="inlineStr">
        <is>
          <t>北海道</t>
        </is>
      </c>
      <c r="S23" s="8" t="inlineStr">
        <is>
          <t>標津郡中標津町</t>
        </is>
      </c>
      <c r="T23" s="8" t="inlineStr">
        <is>
          <t>東21条南9丁目10番地17</t>
        </is>
      </c>
      <c r="U23" s="8"/>
      <c r="V23" s="8"/>
      <c r="W23" s="8"/>
      <c r="X23" s="8"/>
      <c r="Y23" s="8" t="inlineStr">
        <is>
          <t xml:space="preserve"> 東京都西多摩郡奥多摩町留浦１０１８</t>
        </is>
      </c>
    </row>
    <row r="24" customHeight="true" ht="33.05">
      <c r="A24" s="8" t="inlineStr">
        <is>
          <t>365027492782</t>
        </is>
      </c>
      <c r="B24" s="9" t="inlineStr">
        <is>
          <t>365027492782</t>
        </is>
      </c>
      <c r="C24" s="10"/>
      <c r="D24" s="8" t="n">
        <v>14.0</v>
      </c>
      <c r="E24" s="8" t="n">
        <v>1.0</v>
      </c>
      <c r="F24" s="11" t="inlineStr">
        <is>
          <t>梶原</t>
        </is>
      </c>
      <c r="G24" s="8" t="n">
        <f>R24&amp;S24&amp;T24&amp;U24&amp;V24</f>
        <v>0.0</v>
      </c>
      <c r="H24" s="8" t="inlineStr">
        <is>
          <t>090-2311-6018</t>
        </is>
      </c>
      <c r="I24" s="8" t="inlineStr">
        <is>
          <t>060-0062</t>
        </is>
      </c>
      <c r="J24" s="8" t="inlineStr">
        <is>
          <t>ジョシュミル</t>
        </is>
      </c>
      <c r="K24" s="8" t="n">
        <f>W24&amp;X24&amp;Y24</f>
        <v>0.0</v>
      </c>
      <c r="L24" s="8"/>
      <c r="M24" s="8" t="inlineStr">
        <is>
          <t xml:space="preserve"> 050-3092-1704</t>
        </is>
      </c>
      <c r="N24" s="16" t="inlineStr">
        <is>
          <t>148202040055</t>
        </is>
      </c>
      <c r="O24" s="8" t="inlineStr">
        <is>
          <t>Storage tray</t>
        </is>
      </c>
      <c r="P24" s="8"/>
      <c r="Q24" s="8" t="inlineStr">
        <is>
          <t>365027492782</t>
        </is>
      </c>
      <c r="R24" s="8" t="inlineStr">
        <is>
          <t>北海道</t>
        </is>
      </c>
      <c r="S24" s="8" t="inlineStr">
        <is>
          <t>札幌市中央区</t>
        </is>
      </c>
      <c r="T24" s="8" t="inlineStr">
        <is>
          <t>南二条西6-5-3住友狸小路プラザハウス1階せいす</t>
        </is>
      </c>
      <c r="U24" s="8"/>
      <c r="V24" s="8"/>
      <c r="W24" s="8"/>
      <c r="X24" s="8"/>
      <c r="Y24" s="8" t="inlineStr">
        <is>
          <t xml:space="preserve"> 山形県山形市上町２－９－５</t>
        </is>
      </c>
    </row>
    <row r="25" customHeight="true" ht="33.05">
      <c r="A25" s="8" t="inlineStr">
        <is>
          <t>365027493246</t>
        </is>
      </c>
      <c r="B25" s="9" t="inlineStr">
        <is>
          <t>365027493246</t>
        </is>
      </c>
      <c r="C25" s="10"/>
      <c r="D25" s="8" t="n">
        <v>0.0</v>
      </c>
      <c r="E25" s="8" t="n">
        <v>1.0</v>
      </c>
      <c r="F25" s="11" t="inlineStr">
        <is>
          <t>和田 開</t>
        </is>
      </c>
      <c r="G25" s="8" t="n">
        <f>R25&amp;S25&amp;T25&amp;U25&amp;V25</f>
        <v>0.0</v>
      </c>
      <c r="H25" s="8" t="inlineStr">
        <is>
          <t>090-3265-5077</t>
        </is>
      </c>
      <c r="I25" s="8" t="inlineStr">
        <is>
          <t>170-0013</t>
        </is>
      </c>
      <c r="J25" s="8" t="inlineStr">
        <is>
          <t>ラッキーストライク</t>
        </is>
      </c>
      <c r="K25" s="8" t="n">
        <f>W25&amp;X25&amp;Y25</f>
        <v>0.0</v>
      </c>
      <c r="L25" s="8"/>
      <c r="M25" s="8" t="inlineStr">
        <is>
          <t xml:space="preserve"> 05030911547</t>
        </is>
      </c>
      <c r="N25" s="16" t="inlineStr">
        <is>
          <t>148202040055</t>
        </is>
      </c>
      <c r="O25" s="8" t="inlineStr">
        <is>
          <t>Cleaning agents</t>
        </is>
      </c>
      <c r="P25" s="8"/>
      <c r="Q25" s="8" t="inlineStr">
        <is>
          <t>365027493246</t>
        </is>
      </c>
      <c r="R25" s="8" t="inlineStr">
        <is>
          <t>東京都</t>
        </is>
      </c>
      <c r="S25" s="8" t="inlineStr">
        <is>
          <t>豊島区</t>
        </is>
      </c>
      <c r="T25" s="8" t="inlineStr">
        <is>
          <t>東池袋5丁目8-5 602号</t>
        </is>
      </c>
      <c r="U25" s="8"/>
      <c r="V25" s="8"/>
      <c r="W25" s="8"/>
      <c r="X25" s="8"/>
      <c r="Y25" s="8" t="inlineStr">
        <is>
          <t xml:space="preserve"> 東京都西多摩郡奥多摩町留浦１０１８</t>
        </is>
      </c>
    </row>
    <row r="26" customHeight="true" ht="33.05">
      <c r="A26" s="8" t="inlineStr">
        <is>
          <t>365027492933</t>
        </is>
      </c>
      <c r="B26" s="9" t="inlineStr">
        <is>
          <t>365027492933</t>
        </is>
      </c>
      <c r="C26" s="10"/>
      <c r="D26" s="8" t="n">
        <v>0.0</v>
      </c>
      <c r="E26" s="8" t="n">
        <v>1.0</v>
      </c>
      <c r="F26" s="11" t="inlineStr">
        <is>
          <t>木村寿範</t>
        </is>
      </c>
      <c r="G26" s="8" t="n">
        <f>R26&amp;S26&amp;T26&amp;U26&amp;V26</f>
        <v>0.0</v>
      </c>
      <c r="H26" s="8" t="inlineStr">
        <is>
          <t>0191-23-3182</t>
        </is>
      </c>
      <c r="I26" s="8" t="inlineStr">
        <is>
          <t>021-0852</t>
        </is>
      </c>
      <c r="J26" s="8" t="inlineStr">
        <is>
          <t>I.M.P楽天市場店</t>
        </is>
      </c>
      <c r="K26" s="8" t="n">
        <f>W26&amp;X26&amp;Y26</f>
        <v>0.0</v>
      </c>
      <c r="L26" s="8"/>
      <c r="M26" s="8" t="inlineStr">
        <is>
          <t xml:space="preserve"> 050-3092-1704</t>
        </is>
      </c>
      <c r="N26" s="16" t="inlineStr">
        <is>
          <t>148202040055</t>
        </is>
      </c>
      <c r="O26" s="8" t="inlineStr">
        <is>
          <t>Cut-resistant gloves</t>
        </is>
      </c>
      <c r="P26" s="8"/>
      <c r="Q26" s="8" t="inlineStr">
        <is>
          <t>365027492933</t>
        </is>
      </c>
      <c r="R26" s="8" t="inlineStr">
        <is>
          <t>岩手県</t>
        </is>
      </c>
      <c r="S26" s="8" t="inlineStr">
        <is>
          <t>一関市</t>
        </is>
      </c>
      <c r="T26" s="8" t="inlineStr">
        <is>
          <t>沢297-14村上商会</t>
        </is>
      </c>
      <c r="U26" s="8"/>
      <c r="V26" s="8"/>
      <c r="W26" s="8"/>
      <c r="X26" s="8"/>
      <c r="Y26" s="8" t="inlineStr">
        <is>
          <t xml:space="preserve"> 滋賀県甲賀市甲南町野尻558</t>
        </is>
      </c>
    </row>
    <row r="27" customHeight="true" ht="33.05">
      <c r="A27" s="8" t="inlineStr">
        <is>
          <t>365027470986</t>
        </is>
      </c>
      <c r="B27" s="9" t="inlineStr">
        <is>
          <t>365027470986</t>
        </is>
      </c>
      <c r="C27" s="10"/>
      <c r="D27" s="8" t="n">
        <v>0.0</v>
      </c>
      <c r="E27" s="8" t="n">
        <v>1.0</v>
      </c>
      <c r="F27" s="11" t="inlineStr">
        <is>
          <t>加賀田 宙佑</t>
        </is>
      </c>
      <c r="G27" s="8" t="n">
        <f>R27&amp;S27&amp;T27&amp;U27&amp;V27</f>
        <v>0.0</v>
      </c>
      <c r="H27" s="8" t="inlineStr">
        <is>
          <t>08077415894</t>
        </is>
      </c>
      <c r="I27" s="8" t="inlineStr">
        <is>
          <t>212-0007</t>
        </is>
      </c>
      <c r="J27" s="8"/>
      <c r="K27" s="8" t="n">
        <f>W27&amp;X27&amp;Y27</f>
        <v>0.0</v>
      </c>
      <c r="L27" s="8"/>
      <c r="M27" s="8" t="inlineStr">
        <is>
          <t xml:space="preserve"> </t>
        </is>
      </c>
      <c r="N27" s="16" t="inlineStr">
        <is>
          <t>148202040055</t>
        </is>
      </c>
      <c r="O27" s="8" t="inlineStr">
        <is>
          <t>plastic toys</t>
        </is>
      </c>
      <c r="P27" s="8"/>
      <c r="Q27" s="8" t="inlineStr">
        <is>
          <t>365027470986</t>
        </is>
      </c>
      <c r="R27" s="8"/>
      <c r="S27" s="8"/>
      <c r="T27" s="8" t="inlineStr">
        <is>
          <t>神奈川県川崎市幸区河原町 河原町団地13号棟223番</t>
        </is>
      </c>
      <c r="U27" s="8"/>
      <c r="V27" s="8"/>
      <c r="W27" s="8"/>
      <c r="X27" s="8"/>
      <c r="Y27" s="8" t="inlineStr">
        <is>
          <t xml:space="preserve"> </t>
        </is>
      </c>
    </row>
    <row r="28" customHeight="true" ht="33.05">
      <c r="A28" s="8" t="inlineStr">
        <is>
          <t>365027493806</t>
        </is>
      </c>
      <c r="B28" s="9" t="inlineStr">
        <is>
          <t>365027493806</t>
        </is>
      </c>
      <c r="C28" s="10"/>
      <c r="D28" s="8" t="n">
        <v>0.0</v>
      </c>
      <c r="E28" s="8" t="n">
        <v>1.0</v>
      </c>
      <c r="F28" s="11" t="inlineStr">
        <is>
          <t>野村 京</t>
        </is>
      </c>
      <c r="G28" s="8" t="n">
        <f>R28&amp;S28&amp;T28&amp;U28&amp;V28</f>
        <v>0.0</v>
      </c>
      <c r="H28" s="8" t="inlineStr">
        <is>
          <t>03-5937-0883</t>
        </is>
      </c>
      <c r="I28" s="8" t="inlineStr">
        <is>
          <t>160-0023</t>
        </is>
      </c>
      <c r="J28" s="8"/>
      <c r="K28" s="8" t="n">
        <f>W28&amp;X28&amp;Y28</f>
        <v>0.0</v>
      </c>
      <c r="L28" s="8"/>
      <c r="M28" s="8" t="inlineStr">
        <is>
          <t xml:space="preserve"> </t>
        </is>
      </c>
      <c r="N28" s="16" t="inlineStr">
        <is>
          <t>148202040055</t>
        </is>
      </c>
      <c r="O28" s="8" t="inlineStr">
        <is>
          <t>phone case</t>
        </is>
      </c>
      <c r="P28" s="8"/>
      <c r="Q28" s="8" t="inlineStr">
        <is>
          <t>365027493806</t>
        </is>
      </c>
      <c r="R28" s="8"/>
      <c r="S28" s="8"/>
      <c r="T28" s="8" t="inlineStr">
        <is>
          <t>東京都新宿区西新宿7丁目1-12　 Crossoffice新宿705</t>
        </is>
      </c>
      <c r="U28" s="8"/>
      <c r="V28" s="8"/>
      <c r="W28" s="8"/>
      <c r="X28" s="8"/>
      <c r="Y28" s="8" t="inlineStr">
        <is>
          <t xml:space="preserve"> </t>
        </is>
      </c>
    </row>
    <row r="29" customHeight="true" ht="33.05">
      <c r="A29" s="8" t="inlineStr">
        <is>
          <t>365027492852</t>
        </is>
      </c>
      <c r="B29" s="9" t="inlineStr">
        <is>
          <t>365027492852</t>
        </is>
      </c>
      <c r="C29" s="10" t="n">
        <v>46012.0</v>
      </c>
      <c r="D29" s="8" t="n">
        <v>18.0</v>
      </c>
      <c r="E29" s="8" t="n">
        <v>1.0</v>
      </c>
      <c r="F29" s="11" t="inlineStr">
        <is>
          <t>大久保 昌代</t>
        </is>
      </c>
      <c r="G29" s="8" t="n">
        <f>R29&amp;S29&amp;T29&amp;U29&amp;V29</f>
        <v>0.0</v>
      </c>
      <c r="H29" s="8" t="inlineStr">
        <is>
          <t>042-313-8895</t>
        </is>
      </c>
      <c r="I29" s="8" t="inlineStr">
        <is>
          <t>183-0026</t>
        </is>
      </c>
      <c r="J29" s="8" t="inlineStr">
        <is>
          <t>ラッキーストライク</t>
        </is>
      </c>
      <c r="K29" s="8" t="n">
        <f>W29&amp;X29&amp;Y29</f>
        <v>0.0</v>
      </c>
      <c r="L29" s="8"/>
      <c r="M29" s="8" t="inlineStr">
        <is>
          <t xml:space="preserve"> 05030911547</t>
        </is>
      </c>
      <c r="N29" s="16" t="inlineStr">
        <is>
          <t>148202040055</t>
        </is>
      </c>
      <c r="O29" s="8" t="inlineStr">
        <is>
          <t>Toy</t>
        </is>
      </c>
      <c r="P29" s="8"/>
      <c r="Q29" s="8" t="inlineStr">
        <is>
          <t>365027492852</t>
        </is>
      </c>
      <c r="R29" s="8" t="inlineStr">
        <is>
          <t>東京都</t>
        </is>
      </c>
      <c r="S29" s="8" t="inlineStr">
        <is>
          <t>府中市</t>
        </is>
      </c>
      <c r="T29" s="8" t="inlineStr">
        <is>
          <t>南町1-47-1シルキーパレス103</t>
        </is>
      </c>
      <c r="U29" s="8"/>
      <c r="V29" s="8"/>
      <c r="W29" s="8"/>
      <c r="X29" s="8"/>
      <c r="Y29" s="8" t="inlineStr">
        <is>
          <t xml:space="preserve"> 東京都西多摩郡奥多摩町留浦１０１８</t>
        </is>
      </c>
    </row>
    <row r="30" customHeight="true" ht="33.05">
      <c r="A30" s="8" t="inlineStr">
        <is>
          <t>365027493596</t>
        </is>
      </c>
      <c r="B30" s="9" t="inlineStr">
        <is>
          <t>365027493596</t>
        </is>
      </c>
      <c r="C30" s="10"/>
      <c r="D30" s="8" t="n">
        <v>0.0</v>
      </c>
      <c r="E30" s="8" t="n">
        <v>1.0</v>
      </c>
      <c r="F30" s="11" t="inlineStr">
        <is>
          <t>御園 幸江</t>
        </is>
      </c>
      <c r="G30" s="8" t="n">
        <f>R30&amp;S30&amp;T30&amp;U30&amp;V30</f>
        <v>0.0</v>
      </c>
      <c r="H30" s="8" t="inlineStr">
        <is>
          <t>090-8374-1389</t>
        </is>
      </c>
      <c r="I30" s="8" t="inlineStr">
        <is>
          <t>085-0805</t>
        </is>
      </c>
      <c r="J30" s="8" t="inlineStr">
        <is>
          <t/>
        </is>
      </c>
      <c r="K30" s="8" t="n">
        <f>W30&amp;X30&amp;Y30</f>
        <v>0.0</v>
      </c>
      <c r="L30" s="8"/>
      <c r="M30" s="8" t="inlineStr">
        <is>
          <t xml:space="preserve"> 08085450013</t>
        </is>
      </c>
      <c r="N30" s="16" t="inlineStr">
        <is>
          <t>148202040055</t>
        </is>
      </c>
      <c r="O30" s="8" t="inlineStr">
        <is>
          <t>earphones</t>
        </is>
      </c>
      <c r="P30" s="8"/>
      <c r="Q30" s="8" t="inlineStr">
        <is>
          <t>365027493596</t>
        </is>
      </c>
      <c r="R30" s="8" t="inlineStr">
        <is>
          <t>北海道</t>
        </is>
      </c>
      <c r="S30" s="8" t="inlineStr">
        <is>
          <t>釧路市</t>
        </is>
      </c>
      <c r="T30" s="8" t="inlineStr">
        <is>
          <t>桜ケ岡7-7-7</t>
        </is>
      </c>
      <c r="U30" s="8" t="inlineStr">
        <is>
          <t/>
        </is>
      </c>
      <c r="V30" s="8" t="inlineStr">
        <is>
          <t/>
        </is>
      </c>
      <c r="W30" s="8" t="inlineStr">
        <is>
          <t>大阪府</t>
        </is>
      </c>
      <c r="X30" s="8" t="inlineStr">
        <is>
          <t>堺市</t>
        </is>
      </c>
      <c r="Y30" s="8" t="inlineStr">
        <is>
          <t xml:space="preserve"> 中百舌鳥町6丁目１００１-5盲亀浮木の店</t>
        </is>
      </c>
    </row>
    <row r="31" customHeight="true" ht="33.05">
      <c r="A31" s="8" t="inlineStr">
        <is>
          <t>365027469273</t>
        </is>
      </c>
      <c r="B31" s="9" t="inlineStr">
        <is>
          <t>365027469273</t>
        </is>
      </c>
      <c r="C31" s="10"/>
      <c r="D31" s="8" t="n">
        <v>0.0</v>
      </c>
      <c r="E31" s="8" t="n">
        <v>1.0</v>
      </c>
      <c r="F31" s="11" t="inlineStr">
        <is>
          <t>前田　裕香</t>
        </is>
      </c>
      <c r="G31" s="8" t="n">
        <f>R31&amp;S31&amp;T31&amp;U31&amp;V31</f>
        <v>0.0</v>
      </c>
      <c r="H31" s="8" t="inlineStr">
        <is>
          <t>090-9129-8719</t>
        </is>
      </c>
      <c r="I31" s="8" t="inlineStr">
        <is>
          <t>486-0833</t>
        </is>
      </c>
      <c r="J31" s="8"/>
      <c r="K31" s="8" t="n">
        <f>W31&amp;X31&amp;Y31</f>
        <v>0.0</v>
      </c>
      <c r="L31" s="8"/>
      <c r="M31" s="8" t="inlineStr">
        <is>
          <t xml:space="preserve"> </t>
        </is>
      </c>
      <c r="N31" s="16" t="inlineStr">
        <is>
          <t>148202040055</t>
        </is>
      </c>
      <c r="O31" s="8" t="inlineStr">
        <is>
          <t>Neck Massager</t>
        </is>
      </c>
      <c r="P31" s="8"/>
      <c r="Q31" s="8" t="inlineStr">
        <is>
          <t>365027469273</t>
        </is>
      </c>
      <c r="R31" s="8"/>
      <c r="S31" s="8"/>
      <c r="T31" s="8" t="inlineStr">
        <is>
          <t>愛知県 春日井市 上条町3-24-2-9C</t>
        </is>
      </c>
      <c r="U31" s="8"/>
      <c r="V31" s="8"/>
      <c r="W31" s="8"/>
      <c r="X31" s="8"/>
      <c r="Y31" s="8" t="inlineStr">
        <is>
          <t xml:space="preserve"> </t>
        </is>
      </c>
    </row>
    <row r="32" customHeight="true" ht="33.05">
      <c r="A32" s="8" t="inlineStr">
        <is>
          <t>365027472121</t>
        </is>
      </c>
      <c r="B32" s="9" t="inlineStr">
        <is>
          <t>365027472121</t>
        </is>
      </c>
      <c r="C32" s="10"/>
      <c r="D32" s="8" t="n">
        <v>0.0</v>
      </c>
      <c r="E32" s="8" t="n">
        <v>1.0</v>
      </c>
      <c r="F32" s="11" t="inlineStr">
        <is>
          <t>相馬 周</t>
        </is>
      </c>
      <c r="G32" s="8" t="n">
        <f>R32&amp;S32&amp;T32&amp;U32&amp;V32</f>
        <v>0.0</v>
      </c>
      <c r="H32" s="8" t="inlineStr">
        <is>
          <t>07028250406</t>
        </is>
      </c>
      <c r="I32" s="8" t="inlineStr">
        <is>
          <t>030-0962</t>
        </is>
      </c>
      <c r="J32" s="8"/>
      <c r="K32" s="8" t="n">
        <f>W32&amp;X32&amp;Y32</f>
        <v>0.0</v>
      </c>
      <c r="L32" s="8"/>
      <c r="M32" s="8" t="inlineStr">
        <is>
          <t xml:space="preserve"> </t>
        </is>
      </c>
      <c r="N32" s="16" t="inlineStr">
        <is>
          <t>148202040055</t>
        </is>
      </c>
      <c r="O32" s="8" t="inlineStr">
        <is>
          <t>plastic toys</t>
        </is>
      </c>
      <c r="P32" s="8"/>
      <c r="Q32" s="8" t="inlineStr">
        <is>
          <t>365027472121</t>
        </is>
      </c>
      <c r="R32" s="8"/>
      <c r="S32" s="8"/>
      <c r="T32" s="8" t="inlineStr">
        <is>
          <t>青森県青森市 茶屋町4-14</t>
        </is>
      </c>
      <c r="U32" s="8"/>
      <c r="V32" s="8"/>
      <c r="W32" s="8"/>
      <c r="X32" s="8"/>
      <c r="Y32" s="8" t="inlineStr">
        <is>
          <t xml:space="preserve"> </t>
        </is>
      </c>
    </row>
    <row r="33" customHeight="true" ht="33.05">
      <c r="A33" s="8" t="inlineStr">
        <is>
          <t>365027493644</t>
        </is>
      </c>
      <c r="B33" s="9" t="inlineStr">
        <is>
          <t>365027493644</t>
        </is>
      </c>
      <c r="C33" s="10"/>
      <c r="D33" s="8" t="n">
        <v>0.0</v>
      </c>
      <c r="E33" s="8" t="n">
        <v>1.0</v>
      </c>
      <c r="F33" s="11" t="inlineStr">
        <is>
          <t>福田 真弓 [フクダ マユミ]</t>
        </is>
      </c>
      <c r="G33" s="8" t="n">
        <f>R33&amp;S33&amp;T33&amp;U33&amp;V33</f>
        <v>0.0</v>
      </c>
      <c r="H33" s="8" t="inlineStr">
        <is>
          <t>080-9830-6753</t>
        </is>
      </c>
      <c r="I33" s="8" t="inlineStr">
        <is>
          <t>062-0921</t>
        </is>
      </c>
      <c r="J33" s="8" t="inlineStr">
        <is>
          <t>楽天-Rumay-D</t>
        </is>
      </c>
      <c r="K33" s="8" t="n">
        <f>W33&amp;X33&amp;Y33</f>
        <v>0.0</v>
      </c>
      <c r="L33" s="8"/>
      <c r="M33" s="8" t="inlineStr">
        <is>
          <t xml:space="preserve"> 072-703-4761</t>
        </is>
      </c>
      <c r="N33" s="16" t="inlineStr">
        <is>
          <t>148202040055</t>
        </is>
      </c>
      <c r="O33" s="8" t="inlineStr">
        <is>
          <t>Eye Protector</t>
        </is>
      </c>
      <c r="P33" s="8"/>
      <c r="Q33" s="8" t="inlineStr">
        <is>
          <t>365027493644</t>
        </is>
      </c>
      <c r="R33" s="8" t="inlineStr">
        <is>
          <t>北海道</t>
        </is>
      </c>
      <c r="S33" s="8" t="inlineStr">
        <is>
          <t>札幌市豊平区</t>
        </is>
      </c>
      <c r="T33" s="8" t="inlineStr">
        <is>
          <t>中の島一条4丁目2-16 Tiberina中の島401</t>
        </is>
      </c>
      <c r="U33" s="8"/>
      <c r="V33" s="8"/>
      <c r="W33" s="8"/>
      <c r="X33" s="8"/>
      <c r="Y33" s="8" t="inlineStr">
        <is>
          <t xml:space="preserve"> 中央区内本町2‐3‐8　ダイアパレスビル本町 1006ミズイシテクノロジー</t>
        </is>
      </c>
    </row>
    <row r="34" customHeight="true" ht="33.05">
      <c r="A34" s="8" t="inlineStr">
        <is>
          <t>365027493493</t>
        </is>
      </c>
      <c r="B34" s="9" t="inlineStr">
        <is>
          <t>365027493493</t>
        </is>
      </c>
      <c r="C34" s="10"/>
      <c r="D34" s="8" t="n">
        <v>0.0</v>
      </c>
      <c r="E34" s="8" t="n">
        <v>1.0</v>
      </c>
      <c r="F34" s="11" t="inlineStr">
        <is>
          <t>松田 修一 [マツダ シュウイチ]</t>
        </is>
      </c>
      <c r="G34" s="8" t="n">
        <f>R34&amp;S34&amp;T34&amp;U34&amp;V34</f>
        <v>0.0</v>
      </c>
      <c r="H34" s="8" t="inlineStr">
        <is>
          <t>090-5181-6144</t>
        </is>
      </c>
      <c r="I34" s="8" t="inlineStr">
        <is>
          <t>061-1372</t>
        </is>
      </c>
      <c r="J34" s="8" t="inlineStr">
        <is>
          <t>楽天-eightyone-H</t>
        </is>
      </c>
      <c r="K34" s="8" t="n">
        <f>W34&amp;X34&amp;Y34</f>
        <v>0.0</v>
      </c>
      <c r="L34" s="8"/>
      <c r="M34" s="8" t="inlineStr">
        <is>
          <t xml:space="preserve"> 036-161-6083</t>
        </is>
      </c>
      <c r="N34" s="16" t="inlineStr">
        <is>
          <t>148202040055</t>
        </is>
      </c>
      <c r="O34" s="8" t="inlineStr">
        <is>
          <t>Water quality testing pen</t>
        </is>
      </c>
      <c r="P34" s="8"/>
      <c r="Q34" s="8" t="inlineStr">
        <is>
          <t>365027493493</t>
        </is>
      </c>
      <c r="R34" s="8" t="inlineStr">
        <is>
          <t>北海道</t>
        </is>
      </c>
      <c r="S34" s="8" t="inlineStr">
        <is>
          <t>恵庭市</t>
        </is>
      </c>
      <c r="T34" s="8" t="inlineStr">
        <is>
          <t>恵み野南5-6-11</t>
        </is>
      </c>
      <c r="U34" s="8"/>
      <c r="V34" s="8"/>
      <c r="W34" s="8"/>
      <c r="X34" s="8"/>
      <c r="Y34" s="8" t="inlineStr">
        <is>
          <t xml:space="preserve"> 東京都品川区平塚1-13-1</t>
        </is>
      </c>
    </row>
    <row r="35" customHeight="true" ht="33.05">
      <c r="A35" s="8" t="inlineStr">
        <is>
          <t>365027493331</t>
        </is>
      </c>
      <c r="B35" s="9" t="inlineStr">
        <is>
          <t>365027493331</t>
        </is>
      </c>
      <c r="C35" s="10" t="n">
        <v>46008.0</v>
      </c>
      <c r="D35" s="8" t="n">
        <v>0.0</v>
      </c>
      <c r="E35" s="8" t="n">
        <v>1.0</v>
      </c>
      <c r="F35" s="11" t="inlineStr">
        <is>
          <t>伊丹 晋輔 [イタミ シンスケ]</t>
        </is>
      </c>
      <c r="G35" s="8" t="n">
        <f>R35&amp;S35&amp;T35&amp;U35&amp;V35</f>
        <v>0.0</v>
      </c>
      <c r="H35" s="8" t="inlineStr">
        <is>
          <t>090-1350-8954</t>
        </is>
      </c>
      <c r="I35" s="8" t="inlineStr">
        <is>
          <t>713-8121</t>
        </is>
      </c>
      <c r="J35" s="8" t="inlineStr">
        <is>
          <t>楽天-クリアアフュー</t>
        </is>
      </c>
      <c r="K35" s="8" t="n">
        <f>W35&amp;X35&amp;Y35</f>
        <v>0.0</v>
      </c>
      <c r="L35" s="8"/>
      <c r="M35" s="8" t="inlineStr">
        <is>
          <t xml:space="preserve"> 066-4508-345</t>
        </is>
      </c>
      <c r="N35" s="16" t="inlineStr">
        <is>
          <t>148202040055</t>
        </is>
      </c>
      <c r="O35" s="8" t="inlineStr">
        <is>
          <t>baseball</t>
        </is>
      </c>
      <c r="P35" s="8"/>
      <c r="Q35" s="8" t="inlineStr">
        <is>
          <t>365027493331</t>
        </is>
      </c>
      <c r="R35" s="8" t="inlineStr">
        <is>
          <t>岡山県</t>
        </is>
      </c>
      <c r="S35" s="8" t="inlineStr">
        <is>
          <t>倉敷市</t>
        </is>
      </c>
      <c r="T35" s="8" t="inlineStr">
        <is>
          <t>玉島阿賀崎2-1-1玉島中央病院</t>
        </is>
      </c>
      <c r="U35" s="8"/>
      <c r="V35" s="8"/>
      <c r="W35" s="8"/>
      <c r="X35" s="8"/>
      <c r="Y35" s="8" t="inlineStr">
        <is>
          <t xml:space="preserve"> 大阪府大阪市浪速区日本橋５－１３－９－２０２</t>
        </is>
      </c>
    </row>
    <row r="36" customHeight="true" ht="33.05">
      <c r="A36" s="8" t="inlineStr">
        <is>
          <t>365027469752</t>
        </is>
      </c>
      <c r="B36" s="9" t="inlineStr">
        <is>
          <t>365027469752</t>
        </is>
      </c>
      <c r="C36" s="10"/>
      <c r="D36" s="8" t="n">
        <v>0.0</v>
      </c>
      <c r="E36" s="8" t="n">
        <v>1.0</v>
      </c>
      <c r="F36" s="11" t="inlineStr">
        <is>
          <t>篠崎翔太</t>
        </is>
      </c>
      <c r="G36" s="8" t="n">
        <f>R36&amp;S36&amp;T36&amp;U36&amp;V36</f>
        <v>0.0</v>
      </c>
      <c r="H36" s="8" t="inlineStr">
        <is>
          <t>080-4452-8071</t>
        </is>
      </c>
      <c r="I36" s="8" t="inlineStr">
        <is>
          <t>060-0906</t>
        </is>
      </c>
      <c r="J36" s="8"/>
      <c r="K36" s="8" t="n">
        <f>W36&amp;X36&amp;Y36</f>
        <v>0.0</v>
      </c>
      <c r="L36" s="8"/>
      <c r="M36" s="8" t="inlineStr">
        <is>
          <t xml:space="preserve"> </t>
        </is>
      </c>
      <c r="N36" s="16" t="inlineStr">
        <is>
          <t>148202040055</t>
        </is>
      </c>
      <c r="O36" s="8" t="inlineStr">
        <is>
          <t>plastic toys</t>
        </is>
      </c>
      <c r="P36" s="8"/>
      <c r="Q36" s="8" t="inlineStr">
        <is>
          <t>365027469752</t>
        </is>
      </c>
      <c r="R36" s="8"/>
      <c r="S36" s="8"/>
      <c r="T36" s="8" t="inlineStr">
        <is>
          <t>北海道札幌市東区北6条東6丁目1-2-312</t>
        </is>
      </c>
      <c r="U36" s="8"/>
      <c r="V36" s="8"/>
      <c r="W36" s="8"/>
      <c r="X36" s="8"/>
      <c r="Y36" s="8" t="inlineStr">
        <is>
          <t xml:space="preserve"> </t>
        </is>
      </c>
    </row>
    <row r="37" customHeight="true" ht="33.05">
      <c r="A37" s="8" t="inlineStr">
        <is>
          <t>365027493191</t>
        </is>
      </c>
      <c r="B37" s="9" t="inlineStr">
        <is>
          <t>365027493191</t>
        </is>
      </c>
      <c r="C37" s="10"/>
      <c r="D37" s="8" t="n">
        <v>0.0</v>
      </c>
      <c r="E37" s="8" t="n">
        <v>1.0</v>
      </c>
      <c r="F37" s="11" t="inlineStr">
        <is>
          <t>久家 瑠美</t>
        </is>
      </c>
      <c r="G37" s="8" t="n">
        <f>R37&amp;S37&amp;T37&amp;U37&amp;V37</f>
        <v>0.0</v>
      </c>
      <c r="H37" s="8" t="inlineStr">
        <is>
          <t>080-2513-6734</t>
        </is>
      </c>
      <c r="I37" s="8" t="inlineStr">
        <is>
          <t>574-0011</t>
        </is>
      </c>
      <c r="J37" s="8" t="inlineStr">
        <is>
          <t>FINTRUE</t>
        </is>
      </c>
      <c r="K37" s="8" t="n">
        <f>W37&amp;X37&amp;Y37</f>
        <v>0.0</v>
      </c>
      <c r="L37" s="8"/>
      <c r="M37" s="8" t="inlineStr">
        <is>
          <t xml:space="preserve"> 05058401648</t>
        </is>
      </c>
      <c r="N37" s="16" t="inlineStr">
        <is>
          <t>148202040055</t>
        </is>
      </c>
      <c r="O37" s="8" t="inlineStr">
        <is>
          <t>wooden block</t>
        </is>
      </c>
      <c r="P37" s="8"/>
      <c r="Q37" s="8" t="inlineStr">
        <is>
          <t>365027493191</t>
        </is>
      </c>
      <c r="R37" s="8" t="inlineStr">
        <is>
          <t>大阪府</t>
        </is>
      </c>
      <c r="S37" s="8" t="inlineStr">
        <is>
          <t>大東市</t>
        </is>
      </c>
      <c r="T37" s="8" t="inlineStr">
        <is>
          <t>北条7-9-7</t>
        </is>
      </c>
      <c r="U37" s="8"/>
      <c r="V37" s="8"/>
      <c r="W37" s="8"/>
      <c r="X37" s="8"/>
      <c r="Y37" s="8" t="inlineStr">
        <is>
          <t xml:space="preserve"> 大阪府大阪市中央区安堂寺町2-1-3-901</t>
        </is>
      </c>
    </row>
    <row r="38" customHeight="true" ht="33.05">
      <c r="A38" s="8" t="inlineStr">
        <is>
          <t>365027493740</t>
        </is>
      </c>
      <c r="B38" s="9" t="inlineStr">
        <is>
          <t>365027493740</t>
        </is>
      </c>
      <c r="C38" s="10"/>
      <c r="D38" s="8" t="n">
        <v>0.0</v>
      </c>
      <c r="E38" s="8" t="n">
        <v>1.0</v>
      </c>
      <c r="F38" s="11" t="inlineStr">
        <is>
          <t>高橋 佐代 [タカハシ サヨ]</t>
        </is>
      </c>
      <c r="G38" s="8" t="n">
        <f>R38&amp;S38&amp;T38&amp;U38&amp;V38</f>
        <v>0.0</v>
      </c>
      <c r="H38" s="8" t="inlineStr">
        <is>
          <t>090-4750-6967</t>
        </is>
      </c>
      <c r="I38" s="8" t="inlineStr">
        <is>
          <t>364-0005</t>
        </is>
      </c>
      <c r="J38" s="8" t="inlineStr">
        <is>
          <t>楽天-KAMCITY-L</t>
        </is>
      </c>
      <c r="K38" s="8" t="n">
        <f>W38&amp;X38&amp;Y38</f>
        <v>0.0</v>
      </c>
      <c r="L38" s="8"/>
      <c r="M38" s="8" t="inlineStr">
        <is>
          <t xml:space="preserve"> 070-1432-7896</t>
        </is>
      </c>
      <c r="N38" s="16" t="inlineStr">
        <is>
          <t>148202040055</t>
        </is>
      </c>
      <c r="O38" s="8" t="inlineStr">
        <is>
          <t>Outdoor Light</t>
        </is>
      </c>
      <c r="P38" s="8"/>
      <c r="Q38" s="8" t="inlineStr">
        <is>
          <t>365027493740</t>
        </is>
      </c>
      <c r="R38" s="8" t="inlineStr">
        <is>
          <t>埼玉県</t>
        </is>
      </c>
      <c r="S38" s="8" t="inlineStr">
        <is>
          <t>北本市</t>
        </is>
      </c>
      <c r="T38" s="8" t="inlineStr">
        <is>
          <t>本宿5-58</t>
        </is>
      </c>
      <c r="U38" s="8"/>
      <c r="V38" s="8"/>
      <c r="W38" s="8"/>
      <c r="X38" s="8"/>
      <c r="Y38" s="8" t="inlineStr">
        <is>
          <t xml:space="preserve"> 内本町2‐3‐8</t>
        </is>
      </c>
    </row>
    <row r="39" customHeight="true" ht="33.05">
      <c r="A39" s="8" t="inlineStr">
        <is>
          <t>365027472235</t>
        </is>
      </c>
      <c r="B39" s="9" t="inlineStr">
        <is>
          <t>365027472235</t>
        </is>
      </c>
      <c r="C39" s="10"/>
      <c r="D39" s="8" t="n">
        <v>0.0</v>
      </c>
      <c r="E39" s="8" t="n">
        <v>1.0</v>
      </c>
      <c r="F39" s="11" t="inlineStr">
        <is>
          <t>久木隆一郎</t>
        </is>
      </c>
      <c r="G39" s="8" t="n">
        <f>R39&amp;S39&amp;T39&amp;U39&amp;V39</f>
        <v>0.0</v>
      </c>
      <c r="H39" s="8" t="inlineStr">
        <is>
          <t>080-2925-7078</t>
        </is>
      </c>
      <c r="I39" s="8" t="inlineStr">
        <is>
          <t>683-0009</t>
        </is>
      </c>
      <c r="J39" s="8"/>
      <c r="K39" s="8" t="n">
        <f>W39&amp;X39&amp;Y39</f>
        <v>0.0</v>
      </c>
      <c r="L39" s="8"/>
      <c r="M39" s="8" t="inlineStr">
        <is>
          <t xml:space="preserve"> </t>
        </is>
      </c>
      <c r="N39" s="16" t="inlineStr">
        <is>
          <t>148202040055</t>
        </is>
      </c>
      <c r="O39" s="8" t="inlineStr">
        <is>
          <t>plastic toys</t>
        </is>
      </c>
      <c r="P39" s="8"/>
      <c r="Q39" s="8" t="inlineStr">
        <is>
          <t>365027472235</t>
        </is>
      </c>
      <c r="R39" s="8"/>
      <c r="S39" s="8"/>
      <c r="T39" s="8" t="inlineStr">
        <is>
          <t>鳥取県米子市旗ヶ崎2丁目11-39アビタシオンドゥ601</t>
        </is>
      </c>
      <c r="U39" s="8"/>
      <c r="V39" s="8"/>
      <c r="W39" s="8"/>
      <c r="X39" s="8"/>
      <c r="Y39" s="8" t="inlineStr">
        <is>
          <t xml:space="preserve"> </t>
        </is>
      </c>
    </row>
    <row r="40" customHeight="true" ht="33.05">
      <c r="A40" s="8" t="inlineStr">
        <is>
          <t>365027493526</t>
        </is>
      </c>
      <c r="B40" s="9" t="inlineStr">
        <is>
          <t>365027493526</t>
        </is>
      </c>
      <c r="C40" s="10"/>
      <c r="D40" s="8" t="n">
        <v>0.0</v>
      </c>
      <c r="E40" s="8" t="n">
        <v>1.0</v>
      </c>
      <c r="F40" s="11" t="inlineStr">
        <is>
          <t>横井川 ノリ子</t>
        </is>
      </c>
      <c r="G40" s="8" t="n">
        <f>R40&amp;S40&amp;T40&amp;U40&amp;V40</f>
        <v>0.0</v>
      </c>
      <c r="H40" s="8" t="inlineStr">
        <is>
          <t>080-1000-3225</t>
        </is>
      </c>
      <c r="I40" s="8" t="inlineStr">
        <is>
          <t>321-0203</t>
        </is>
      </c>
      <c r="J40" s="8" t="inlineStr">
        <is>
          <t/>
        </is>
      </c>
      <c r="K40" s="8" t="n">
        <f>W40&amp;X40&amp;Y40</f>
        <v>0.0</v>
      </c>
      <c r="L40" s="8"/>
      <c r="M40" s="8" t="inlineStr">
        <is>
          <t xml:space="preserve"> 08085450013</t>
        </is>
      </c>
      <c r="N40" s="16" t="inlineStr">
        <is>
          <t>148202040055</t>
        </is>
      </c>
      <c r="O40" s="8" t="inlineStr">
        <is>
          <t>ashtray</t>
        </is>
      </c>
      <c r="P40" s="8"/>
      <c r="Q40" s="8" t="inlineStr">
        <is>
          <t>365027493526</t>
        </is>
      </c>
      <c r="R40" s="8" t="inlineStr">
        <is>
          <t>栃木県</t>
        </is>
      </c>
      <c r="S40" s="8" t="inlineStr">
        <is>
          <t>下都賀郡壬生町</t>
        </is>
      </c>
      <c r="T40" s="8" t="inlineStr">
        <is>
          <t>幸町1-5-3</t>
        </is>
      </c>
      <c r="U40" s="8" t="inlineStr">
        <is>
          <t/>
        </is>
      </c>
      <c r="V40" s="8" t="inlineStr">
        <is>
          <t/>
        </is>
      </c>
      <c r="W40" s="8" t="inlineStr">
        <is>
          <t>大阪府</t>
        </is>
      </c>
      <c r="X40" s="8" t="inlineStr">
        <is>
          <t>堺市</t>
        </is>
      </c>
      <c r="Y40" s="8" t="inlineStr">
        <is>
          <t xml:space="preserve"> 中百舌鳥町6丁目１００１-5盲亀浮木の店</t>
        </is>
      </c>
    </row>
    <row r="41" customHeight="true" ht="33.05">
      <c r="A41" s="8" t="inlineStr">
        <is>
          <t>365027469284</t>
        </is>
      </c>
      <c r="B41" s="9" t="inlineStr">
        <is>
          <t>365027469284</t>
        </is>
      </c>
      <c r="C41" s="10"/>
      <c r="D41" s="8" t="n">
        <v>0.0</v>
      </c>
      <c r="E41" s="8" t="n">
        <v>1.0</v>
      </c>
      <c r="F41" s="11" t="inlineStr">
        <is>
          <t>田口真大朗</t>
        </is>
      </c>
      <c r="G41" s="8" t="n">
        <f>R41&amp;S41&amp;T41&amp;U41&amp;V41</f>
        <v>0.0</v>
      </c>
      <c r="H41" s="8" t="inlineStr">
        <is>
          <t>090-3165-1028</t>
        </is>
      </c>
      <c r="I41" s="8" t="inlineStr">
        <is>
          <t>542-0072</t>
        </is>
      </c>
      <c r="J41" s="8"/>
      <c r="K41" s="8" t="n">
        <f>W41&amp;X41&amp;Y41</f>
        <v>0.0</v>
      </c>
      <c r="L41" s="8"/>
      <c r="M41" s="8" t="inlineStr">
        <is>
          <t xml:space="preserve"> </t>
        </is>
      </c>
      <c r="N41" s="16" t="inlineStr">
        <is>
          <t>148202040055</t>
        </is>
      </c>
      <c r="O41" s="8" t="inlineStr">
        <is>
          <t>humidifier</t>
        </is>
      </c>
      <c r="P41" s="8"/>
      <c r="Q41" s="8" t="inlineStr">
        <is>
          <t>365027469284</t>
        </is>
      </c>
      <c r="R41" s="8"/>
      <c r="S41" s="8"/>
      <c r="T41" s="8" t="inlineStr">
        <is>
          <t>大阪府大阪市中央区高津3-2-34 ホワイトハイツ601</t>
        </is>
      </c>
      <c r="U41" s="8"/>
      <c r="V41" s="8"/>
      <c r="W41" s="8"/>
      <c r="X41" s="8"/>
      <c r="Y41" s="8" t="inlineStr">
        <is>
          <t xml:space="preserve"> </t>
        </is>
      </c>
    </row>
    <row r="42" customHeight="true" ht="33.05">
      <c r="A42" s="8" t="inlineStr">
        <is>
          <t>365027492771</t>
        </is>
      </c>
      <c r="B42" s="9" t="inlineStr">
        <is>
          <t>365027492771</t>
        </is>
      </c>
      <c r="C42" s="10"/>
      <c r="D42" s="8" t="n">
        <v>0.0</v>
      </c>
      <c r="E42" s="8" t="n">
        <v>1.0</v>
      </c>
      <c r="F42" s="11" t="inlineStr">
        <is>
          <t>永井 恵美</t>
        </is>
      </c>
      <c r="G42" s="8" t="n">
        <f>R42&amp;S42&amp;T42&amp;U42&amp;V42</f>
        <v>0.0</v>
      </c>
      <c r="H42" s="8" t="inlineStr">
        <is>
          <t>0735-32-3030</t>
        </is>
      </c>
      <c r="I42" s="8" t="inlineStr">
        <is>
          <t>519-5711</t>
        </is>
      </c>
      <c r="J42" s="8" t="inlineStr">
        <is>
          <t>JETMILLIO楽天市場店</t>
        </is>
      </c>
      <c r="K42" s="8" t="n">
        <f>W42&amp;X42&amp;Y42</f>
        <v>0.0</v>
      </c>
      <c r="L42" s="8"/>
      <c r="M42" s="8" t="inlineStr">
        <is>
          <t xml:space="preserve"> 050-3181-9787</t>
        </is>
      </c>
      <c r="N42" s="16" t="inlineStr">
        <is>
          <t>148202040055</t>
        </is>
      </c>
      <c r="O42" s="8" t="inlineStr">
        <is>
          <t>cleaning brush</t>
        </is>
      </c>
      <c r="P42" s="8"/>
      <c r="Q42" s="8" t="inlineStr">
        <is>
          <t>365027492771</t>
        </is>
      </c>
      <c r="R42" s="8" t="inlineStr">
        <is>
          <t>三重県</t>
        </is>
      </c>
      <c r="S42" s="8" t="inlineStr">
        <is>
          <t>南牟婁郡紀宝町</t>
        </is>
      </c>
      <c r="T42" s="8" t="inlineStr">
        <is>
          <t>井田1598</t>
        </is>
      </c>
      <c r="U42" s="8"/>
      <c r="V42" s="8"/>
      <c r="W42" s="8"/>
      <c r="X42" s="8"/>
      <c r="Y42" s="8" t="inlineStr">
        <is>
          <t xml:space="preserve"> 東京都大田区上池台３－２４－１４スターハイツ洗足池２　２０２</t>
        </is>
      </c>
    </row>
    <row r="43" customHeight="true" ht="33.05">
      <c r="A43" s="8" t="inlineStr">
        <is>
          <t>365027492546</t>
        </is>
      </c>
      <c r="B43" s="9" t="inlineStr">
        <is>
          <t>365027492546</t>
        </is>
      </c>
      <c r="C43" s="10" t="n">
        <v>46006.0</v>
      </c>
      <c r="D43" s="8" t="n">
        <v>14.0</v>
      </c>
      <c r="E43" s="8" t="n">
        <v>1.0</v>
      </c>
      <c r="F43" s="11" t="inlineStr">
        <is>
          <t>長谷川資洋 (エスアイエイジェンシー依頼分)</t>
        </is>
      </c>
      <c r="G43" s="8" t="n">
        <f>R43&amp;S43&amp;T43&amp;U43&amp;V43</f>
        <v>0.0</v>
      </c>
      <c r="H43" s="8" t="inlineStr">
        <is>
          <t>080-4210-9142</t>
        </is>
      </c>
      <c r="I43" s="8" t="inlineStr">
        <is>
          <t>321-2523</t>
        </is>
      </c>
      <c r="J43" s="8" t="inlineStr">
        <is>
          <t>I.M.P楽天市場店</t>
        </is>
      </c>
      <c r="K43" s="8" t="n">
        <f>W43&amp;X43&amp;Y43</f>
        <v>0.0</v>
      </c>
      <c r="L43" s="8"/>
      <c r="M43" s="8" t="inlineStr">
        <is>
          <t xml:space="preserve"> 050-3092-1704</t>
        </is>
      </c>
      <c r="N43" s="16" t="inlineStr">
        <is>
          <t>148202040055</t>
        </is>
      </c>
      <c r="O43" s="8" t="inlineStr">
        <is>
          <t>doorbell</t>
        </is>
      </c>
      <c r="P43" s="8"/>
      <c r="Q43" s="8" t="inlineStr">
        <is>
          <t>365027492546</t>
        </is>
      </c>
      <c r="R43" s="8" t="inlineStr">
        <is>
          <t>栃木県</t>
        </is>
      </c>
      <c r="S43" s="8" t="inlineStr">
        <is>
          <t>日光市</t>
        </is>
      </c>
      <c r="T43" s="8" t="inlineStr">
        <is>
          <t>高徳38番地3 サンクチュアリコート日光 購買部 フロント29</t>
        </is>
      </c>
      <c r="U43" s="8"/>
      <c r="V43" s="8"/>
      <c r="W43" s="8"/>
      <c r="X43" s="8"/>
      <c r="Y43" s="8" t="inlineStr">
        <is>
          <t xml:space="preserve"> 滋賀県甲賀市甲南町野尻558</t>
        </is>
      </c>
    </row>
    <row r="44" customHeight="true" ht="33.05">
      <c r="A44" s="8" t="inlineStr">
        <is>
          <t>365027492981</t>
        </is>
      </c>
      <c r="B44" s="9" t="inlineStr">
        <is>
          <t>365027492981</t>
        </is>
      </c>
      <c r="C44" s="10"/>
      <c r="D44" s="8" t="n">
        <v>18.0</v>
      </c>
      <c r="E44" s="8" t="n">
        <v>1.0</v>
      </c>
      <c r="F44" s="11" t="inlineStr">
        <is>
          <t>伊藤 珠子</t>
        </is>
      </c>
      <c r="G44" s="8" t="n">
        <f>R44&amp;S44&amp;T44&amp;U44&amp;V44</f>
        <v>0.0</v>
      </c>
      <c r="H44" s="8" t="inlineStr">
        <is>
          <t>0532-25-1617</t>
        </is>
      </c>
      <c r="I44" s="8" t="inlineStr">
        <is>
          <t>441-8133</t>
        </is>
      </c>
      <c r="J44" s="8" t="inlineStr">
        <is>
          <t>FINTRUE</t>
        </is>
      </c>
      <c r="K44" s="8" t="n">
        <f>W44&amp;X44&amp;Y44</f>
        <v>0.0</v>
      </c>
      <c r="L44" s="8"/>
      <c r="M44" s="8" t="inlineStr">
        <is>
          <t xml:space="preserve"> 05058401648</t>
        </is>
      </c>
      <c r="N44" s="16" t="inlineStr">
        <is>
          <t>148202040055</t>
        </is>
      </c>
      <c r="O44" s="8" t="inlineStr">
        <is>
          <t>lamp</t>
        </is>
      </c>
      <c r="P44" s="8"/>
      <c r="Q44" s="8" t="inlineStr">
        <is>
          <t>365027492981</t>
        </is>
      </c>
      <c r="R44" s="8" t="inlineStr">
        <is>
          <t>愛知県</t>
        </is>
      </c>
      <c r="S44" s="8" t="inlineStr">
        <is>
          <t>豊橋市</t>
        </is>
      </c>
      <c r="T44" s="8" t="inlineStr">
        <is>
          <t>大清水町字大清水444-1</t>
        </is>
      </c>
      <c r="U44" s="8"/>
      <c r="V44" s="8"/>
      <c r="W44" s="8"/>
      <c r="X44" s="8"/>
      <c r="Y44" s="8" t="inlineStr">
        <is>
          <t xml:space="preserve"> 大阪府大阪市中央区安堂寺町2-1-3-901</t>
        </is>
      </c>
    </row>
    <row r="45" customHeight="true" ht="33.05">
      <c r="A45" s="8" t="inlineStr">
        <is>
          <t>365027492561</t>
        </is>
      </c>
      <c r="B45" s="9" t="inlineStr">
        <is>
          <t>365027492561</t>
        </is>
      </c>
      <c r="C45" s="10" t="n">
        <v>46004.0</v>
      </c>
      <c r="D45" s="8" t="n">
        <v>16.0</v>
      </c>
      <c r="E45" s="8" t="n">
        <v>1.0</v>
      </c>
      <c r="F45" s="11" t="inlineStr">
        <is>
          <t>原島 健二 [ハラシマ ケンジ]</t>
        </is>
      </c>
      <c r="G45" s="8" t="n">
        <f>R45&amp;S45&amp;T45&amp;U45&amp;V45</f>
        <v>0.0</v>
      </c>
      <c r="H45" s="8" t="inlineStr">
        <is>
          <t>090-2635-9143</t>
        </is>
      </c>
      <c r="I45" s="8" t="inlineStr">
        <is>
          <t>004-0052</t>
        </is>
      </c>
      <c r="J45" s="8" t="inlineStr">
        <is>
          <t>楽天-和心-H</t>
        </is>
      </c>
      <c r="K45" s="8" t="n">
        <f>W45&amp;X45&amp;Y45</f>
        <v>0.0</v>
      </c>
      <c r="L45" s="8"/>
      <c r="M45" s="8" t="inlineStr">
        <is>
          <t xml:space="preserve"> 05030919965</t>
        </is>
      </c>
      <c r="N45" s="16" t="inlineStr">
        <is>
          <t>148202040055</t>
        </is>
      </c>
      <c r="O45" s="8" t="inlineStr">
        <is>
          <t>Toy</t>
        </is>
      </c>
      <c r="P45" s="8"/>
      <c r="Q45" s="8" t="inlineStr">
        <is>
          <t>365027492561</t>
        </is>
      </c>
      <c r="R45" s="8" t="inlineStr">
        <is>
          <t>北海道</t>
        </is>
      </c>
      <c r="S45" s="8" t="inlineStr">
        <is>
          <t>札幌市厚別区</t>
        </is>
      </c>
      <c r="T45" s="8" t="inlineStr">
        <is>
          <t>厚別中央二条2-9-7 トラスコートひばりが丘302</t>
        </is>
      </c>
      <c r="U45" s="8"/>
      <c r="V45" s="8"/>
      <c r="W45" s="8"/>
      <c r="X45" s="8"/>
      <c r="Y45" s="8" t="inlineStr">
        <is>
          <t xml:space="preserve"> 東京都稲城市平尾１－１４－１７</t>
        </is>
      </c>
    </row>
    <row r="46" customHeight="true" ht="33.05">
      <c r="A46" s="8" t="inlineStr">
        <is>
          <t>365027493294</t>
        </is>
      </c>
      <c r="B46" s="9" t="inlineStr">
        <is>
          <t>365027493294</t>
        </is>
      </c>
      <c r="C46" s="10"/>
      <c r="D46" s="8" t="n">
        <v>1.0</v>
      </c>
      <c r="E46" s="8" t="n">
        <v>1.0</v>
      </c>
      <c r="F46" s="11" t="inlineStr">
        <is>
          <t>水阪 由美</t>
        </is>
      </c>
      <c r="G46" s="8" t="n">
        <f>R46&amp;S46&amp;T46&amp;U46&amp;V46</f>
        <v>0.0</v>
      </c>
      <c r="H46" s="8" t="inlineStr">
        <is>
          <t>090-6370-4457</t>
        </is>
      </c>
      <c r="I46" s="8" t="inlineStr">
        <is>
          <t>550-0013</t>
        </is>
      </c>
      <c r="J46" s="8" t="inlineStr">
        <is>
          <t>JETMILLIO楽天市場店</t>
        </is>
      </c>
      <c r="K46" s="8" t="n">
        <f>W46&amp;X46&amp;Y46</f>
        <v>0.0</v>
      </c>
      <c r="L46" s="8"/>
      <c r="M46" s="8" t="inlineStr">
        <is>
          <t xml:space="preserve"> 050-3181-9787</t>
        </is>
      </c>
      <c r="N46" s="16" t="inlineStr">
        <is>
          <t>148202040055</t>
        </is>
      </c>
      <c r="O46" s="8" t="inlineStr">
        <is>
          <t>Ornaments</t>
        </is>
      </c>
      <c r="P46" s="8"/>
      <c r="Q46" s="8" t="inlineStr">
        <is>
          <t>365027493294</t>
        </is>
      </c>
      <c r="R46" s="8" t="inlineStr">
        <is>
          <t>大阪府</t>
        </is>
      </c>
      <c r="S46" s="8" t="inlineStr">
        <is>
          <t>大阪市西区</t>
        </is>
      </c>
      <c r="T46" s="8" t="inlineStr">
        <is>
          <t>新町2-16-17アーデンタワー新町1101号</t>
        </is>
      </c>
      <c r="U46" s="8"/>
      <c r="V46" s="8"/>
      <c r="W46" s="8"/>
      <c r="X46" s="8"/>
      <c r="Y46" s="8" t="inlineStr">
        <is>
          <t xml:space="preserve"> 東京都大田区上池台３－２４－１４スターハイツ洗足池２　２０２</t>
        </is>
      </c>
    </row>
    <row r="47" customHeight="true" ht="33.05">
      <c r="A47" s="8" t="inlineStr">
        <is>
          <t>365027492745</t>
        </is>
      </c>
      <c r="B47" s="9" t="inlineStr">
        <is>
          <t>365027492745</t>
        </is>
      </c>
      <c r="C47" s="10"/>
      <c r="D47" s="8" t="n">
        <v>19.0</v>
      </c>
      <c r="E47" s="8" t="n">
        <v>1.0</v>
      </c>
      <c r="F47" s="11" t="inlineStr">
        <is>
          <t>高村 精一郎</t>
        </is>
      </c>
      <c r="G47" s="8" t="n">
        <f>R47&amp;S47&amp;T47&amp;U47&amp;V47</f>
        <v>0.0</v>
      </c>
      <c r="H47" s="8" t="inlineStr">
        <is>
          <t>04-2944-6506</t>
        </is>
      </c>
      <c r="I47" s="8" t="inlineStr">
        <is>
          <t>359-0024</t>
        </is>
      </c>
      <c r="J47" s="8" t="inlineStr">
        <is>
          <t>ラッキーストライク</t>
        </is>
      </c>
      <c r="K47" s="8" t="n">
        <f>W47&amp;X47&amp;Y47</f>
        <v>0.0</v>
      </c>
      <c r="L47" s="8"/>
      <c r="M47" s="8" t="inlineStr">
        <is>
          <t xml:space="preserve"> 05030911547</t>
        </is>
      </c>
      <c r="N47" s="16" t="inlineStr">
        <is>
          <t>148202040055</t>
        </is>
      </c>
      <c r="O47" s="8" t="inlineStr">
        <is>
          <t>Cleaning supplies</t>
        </is>
      </c>
      <c r="P47" s="8"/>
      <c r="Q47" s="8" t="inlineStr">
        <is>
          <t>365027492745</t>
        </is>
      </c>
      <c r="R47" s="8" t="inlineStr">
        <is>
          <t>埼玉県</t>
        </is>
      </c>
      <c r="S47" s="8" t="inlineStr">
        <is>
          <t>所沢市</t>
        </is>
      </c>
      <c r="T47" s="8" t="inlineStr">
        <is>
          <t>下安松286-227</t>
        </is>
      </c>
      <c r="U47" s="8"/>
      <c r="V47" s="8"/>
      <c r="W47" s="8"/>
      <c r="X47" s="8"/>
      <c r="Y47" s="8" t="inlineStr">
        <is>
          <t xml:space="preserve"> 東京都西多摩郡奥多摩町留浦１０１８</t>
        </is>
      </c>
    </row>
    <row r="48" customHeight="true" ht="33.05">
      <c r="A48" s="8" t="inlineStr">
        <is>
          <t>365027493176</t>
        </is>
      </c>
      <c r="B48" s="9" t="inlineStr">
        <is>
          <t>365027493176</t>
        </is>
      </c>
      <c r="C48" s="10"/>
      <c r="D48" s="8" t="n">
        <v>19.0</v>
      </c>
      <c r="E48" s="8" t="n">
        <v>1.0</v>
      </c>
      <c r="F48" s="11" t="inlineStr">
        <is>
          <t>長井 智美</t>
        </is>
      </c>
      <c r="G48" s="8" t="n">
        <f>R48&amp;S48&amp;T48&amp;U48&amp;V48</f>
        <v>0.0</v>
      </c>
      <c r="H48" s="8" t="inlineStr">
        <is>
          <t>080-3546-7292</t>
        </is>
      </c>
      <c r="I48" s="8" t="inlineStr">
        <is>
          <t>253-0053</t>
        </is>
      </c>
      <c r="J48" s="8" t="inlineStr">
        <is>
          <t>ジョシュミル</t>
        </is>
      </c>
      <c r="K48" s="8" t="n">
        <f>W48&amp;X48&amp;Y48</f>
        <v>0.0</v>
      </c>
      <c r="L48" s="8"/>
      <c r="M48" s="8" t="inlineStr">
        <is>
          <t xml:space="preserve"> 050-3092-1704</t>
        </is>
      </c>
      <c r="N48" s="16" t="inlineStr">
        <is>
          <t>148202040055</t>
        </is>
      </c>
      <c r="O48" s="8" t="inlineStr">
        <is>
          <t>Egg slicer</t>
        </is>
      </c>
      <c r="P48" s="8"/>
      <c r="Q48" s="8" t="inlineStr">
        <is>
          <t>365027493176</t>
        </is>
      </c>
      <c r="R48" s="8" t="inlineStr">
        <is>
          <t>神奈川県</t>
        </is>
      </c>
      <c r="S48" s="8" t="inlineStr">
        <is>
          <t>茅ヶ崎市</t>
        </is>
      </c>
      <c r="T48" s="8" t="inlineStr">
        <is>
          <t>東海岸北5丁目1ー12ー2</t>
        </is>
      </c>
      <c r="U48" s="8"/>
      <c r="V48" s="8"/>
      <c r="W48" s="8"/>
      <c r="X48" s="8"/>
      <c r="Y48" s="8" t="inlineStr">
        <is>
          <t xml:space="preserve"> 山形県山形市上町２－９－５</t>
        </is>
      </c>
    </row>
    <row r="49" customHeight="true" ht="33.05">
      <c r="A49" s="8" t="inlineStr">
        <is>
          <t>365027492583</t>
        </is>
      </c>
      <c r="B49" s="9" t="inlineStr">
        <is>
          <t>365027492583</t>
        </is>
      </c>
      <c r="C49" s="10" t="n">
        <v>46005.0</v>
      </c>
      <c r="D49" s="8" t="n">
        <v>16.0</v>
      </c>
      <c r="E49" s="8" t="n">
        <v>1.0</v>
      </c>
      <c r="F49" s="11" t="inlineStr">
        <is>
          <t>菅原 まゆみ [スガワラ マユミ]</t>
        </is>
      </c>
      <c r="G49" s="8" t="n">
        <f>R49&amp;S49&amp;T49&amp;U49&amp;V49</f>
        <v>0.0</v>
      </c>
      <c r="H49" s="8" t="inlineStr">
        <is>
          <t>090-7657-3191</t>
        </is>
      </c>
      <c r="I49" s="8" t="inlineStr">
        <is>
          <t>005-0852</t>
        </is>
      </c>
      <c r="J49" s="8" t="inlineStr">
        <is>
          <t>楽天-SUTAIRU-D</t>
        </is>
      </c>
      <c r="K49" s="8" t="n">
        <f>W49&amp;X49&amp;Y49</f>
        <v>0.0</v>
      </c>
      <c r="L49" s="8"/>
      <c r="M49" s="8" t="inlineStr">
        <is>
          <t xml:space="preserve"> 070-1432-7896</t>
        </is>
      </c>
      <c r="N49" s="16" t="inlineStr">
        <is>
          <t>148202040055</t>
        </is>
      </c>
      <c r="O49" s="8" t="inlineStr">
        <is>
          <t>seal</t>
        </is>
      </c>
      <c r="P49" s="8"/>
      <c r="Q49" s="8" t="inlineStr">
        <is>
          <t>365027492583</t>
        </is>
      </c>
      <c r="R49" s="8" t="inlineStr">
        <is>
          <t>北海道</t>
        </is>
      </c>
      <c r="S49" s="8" t="inlineStr">
        <is>
          <t>札幌市南区</t>
        </is>
      </c>
      <c r="T49" s="8" t="inlineStr">
        <is>
          <t>常盤二条1丁目12-6-1032025-12-14(日)16:00-18:00</t>
        </is>
      </c>
      <c r="U49" s="8"/>
      <c r="V49" s="8"/>
      <c r="W49" s="8"/>
      <c r="X49" s="8"/>
      <c r="Y49" s="8" t="inlineStr">
        <is>
          <t xml:space="preserve"> 内本町2‐3‐8</t>
        </is>
      </c>
    </row>
    <row r="50" customHeight="true" ht="33.05">
      <c r="A50" s="8" t="inlineStr">
        <is>
          <t>365027492955</t>
        </is>
      </c>
      <c r="B50" s="9" t="inlineStr">
        <is>
          <t>365027492955</t>
        </is>
      </c>
      <c r="C50" s="10"/>
      <c r="D50" s="8" t="n">
        <v>0.0</v>
      </c>
      <c r="E50" s="8" t="n">
        <v>1.0</v>
      </c>
      <c r="F50" s="11" t="inlineStr">
        <is>
          <t>天草 慈恵病院</t>
        </is>
      </c>
      <c r="G50" s="8" t="n">
        <f>R50&amp;S50&amp;T50&amp;U50&amp;V50</f>
        <v>0.0</v>
      </c>
      <c r="H50" s="8" t="inlineStr">
        <is>
          <t>0969-37-1114</t>
        </is>
      </c>
      <c r="I50" s="8" t="inlineStr">
        <is>
          <t>863-2502</t>
        </is>
      </c>
      <c r="J50" s="8" t="inlineStr">
        <is>
          <t>JETMILLIO楽天市場店</t>
        </is>
      </c>
      <c r="K50" s="8" t="n">
        <f>W50&amp;X50&amp;Y50</f>
        <v>0.0</v>
      </c>
      <c r="L50" s="8"/>
      <c r="M50" s="8" t="inlineStr">
        <is>
          <t xml:space="preserve"> 050-3181-9787</t>
        </is>
      </c>
      <c r="N50" s="16" t="inlineStr">
        <is>
          <t>148202040055</t>
        </is>
      </c>
      <c r="O50" s="8" t="inlineStr">
        <is>
          <t>toy</t>
        </is>
      </c>
      <c r="P50" s="8"/>
      <c r="Q50" s="8" t="inlineStr">
        <is>
          <t>365027492955</t>
        </is>
      </c>
      <c r="R50" s="8" t="inlineStr">
        <is>
          <t>熊本県</t>
        </is>
      </c>
      <c r="S50" s="8" t="inlineStr">
        <is>
          <t>天草郡苓北町</t>
        </is>
      </c>
      <c r="T50" s="8" t="inlineStr">
        <is>
          <t>上津深江278-10</t>
        </is>
      </c>
      <c r="U50" s="8"/>
      <c r="V50" s="8"/>
      <c r="W50" s="8"/>
      <c r="X50" s="8"/>
      <c r="Y50" s="8" t="inlineStr">
        <is>
          <t xml:space="preserve"> 東京都大田区上池台３－２４－１４スターハイツ洗足池２　２０２</t>
        </is>
      </c>
    </row>
    <row r="51" customHeight="true" ht="33.05">
      <c r="A51" s="8" t="inlineStr">
        <is>
          <t>365027493751</t>
        </is>
      </c>
      <c r="B51" s="9" t="inlineStr">
        <is>
          <t>365027493751</t>
        </is>
      </c>
      <c r="C51" s="10"/>
      <c r="D51" s="8" t="n">
        <v>0.0</v>
      </c>
      <c r="E51" s="8" t="n">
        <v>1.0</v>
      </c>
      <c r="F51" s="11" t="inlineStr">
        <is>
          <t>本橋 伸子 [モトハシ ノブコ]</t>
        </is>
      </c>
      <c r="G51" s="8" t="n">
        <f>R51&amp;S51&amp;T51&amp;U51&amp;V51</f>
        <v>0.0</v>
      </c>
      <c r="H51" s="8" t="inlineStr">
        <is>
          <t>03-5738-2012</t>
        </is>
      </c>
      <c r="I51" s="8" t="inlineStr">
        <is>
          <t>153-0044</t>
        </is>
      </c>
      <c r="J51" s="8" t="inlineStr">
        <is>
          <t>楽天-和心-H</t>
        </is>
      </c>
      <c r="K51" s="8" t="n">
        <f>W51&amp;X51&amp;Y51</f>
        <v>0.0</v>
      </c>
      <c r="L51" s="8"/>
      <c r="M51" s="8" t="inlineStr">
        <is>
          <t xml:space="preserve"> 05030919965</t>
        </is>
      </c>
      <c r="N51" s="16" t="inlineStr">
        <is>
          <t>148202040055</t>
        </is>
      </c>
      <c r="O51" s="8" t="inlineStr">
        <is>
          <t>Warm Fan</t>
        </is>
      </c>
      <c r="P51" s="8"/>
      <c r="Q51" s="8" t="inlineStr">
        <is>
          <t>365027493751</t>
        </is>
      </c>
      <c r="R51" s="8" t="inlineStr">
        <is>
          <t>東京都</t>
        </is>
      </c>
      <c r="S51" s="8" t="inlineStr">
        <is>
          <t>目黒区</t>
        </is>
      </c>
      <c r="T51" s="8" t="inlineStr">
        <is>
          <t>大橋2-2-3-504（午前中配達希望）</t>
        </is>
      </c>
      <c r="U51" s="8"/>
      <c r="V51" s="8"/>
      <c r="W51" s="8"/>
      <c r="X51" s="8"/>
      <c r="Y51" s="8" t="inlineStr">
        <is>
          <t xml:space="preserve"> 東京都稲城市平尾１－１４－１７</t>
        </is>
      </c>
    </row>
    <row r="52" customHeight="true" ht="33.05">
      <c r="A52" s="8" t="inlineStr">
        <is>
          <t>365027490855</t>
        </is>
      </c>
      <c r="B52" s="9" t="inlineStr">
        <is>
          <t>365027490855</t>
        </is>
      </c>
      <c r="C52" s="10"/>
      <c r="D52" s="8" t="n">
        <v>0.0</v>
      </c>
      <c r="E52" s="8" t="n">
        <v>1.0</v>
      </c>
      <c r="F52" s="11" t="inlineStr">
        <is>
          <t>高根沢 一也</t>
        </is>
      </c>
      <c r="G52" s="8" t="n">
        <f>R52&amp;S52&amp;T52&amp;U52&amp;V52</f>
        <v>0.0</v>
      </c>
      <c r="H52" s="8" t="inlineStr">
        <is>
          <t>03-6273-8641</t>
        </is>
      </c>
      <c r="I52" s="8" t="inlineStr">
        <is>
          <t>160-0021</t>
        </is>
      </c>
      <c r="J52" s="8" t="inlineStr">
        <is>
          <t>ラッキーストライク</t>
        </is>
      </c>
      <c r="K52" s="8" t="n">
        <f>W52&amp;X52&amp;Y52</f>
        <v>0.0</v>
      </c>
      <c r="L52" s="8"/>
      <c r="M52" s="8" t="inlineStr">
        <is>
          <t xml:space="preserve"> 05030911547</t>
        </is>
      </c>
      <c r="N52" s="16" t="inlineStr">
        <is>
          <t>148202040055</t>
        </is>
      </c>
      <c r="O52" s="8" t="inlineStr">
        <is>
          <t>Ornaments</t>
        </is>
      </c>
      <c r="P52" s="8"/>
      <c r="Q52" s="8" t="inlineStr">
        <is>
          <t>365027490855</t>
        </is>
      </c>
      <c r="R52" s="8" t="inlineStr">
        <is>
          <t>東京都</t>
        </is>
      </c>
      <c r="S52" s="8" t="inlineStr">
        <is>
          <t>新宿区</t>
        </is>
      </c>
      <c r="T52" s="8" t="inlineStr">
        <is>
          <t>歌舞伎町1-28-3 TOMOビル3F</t>
        </is>
      </c>
      <c r="U52" s="8"/>
      <c r="V52" s="8"/>
      <c r="W52" s="8"/>
      <c r="X52" s="8"/>
      <c r="Y52" s="8" t="inlineStr">
        <is>
          <t xml:space="preserve"> 東京都西多摩郡奥多摩町留浦１０１８</t>
        </is>
      </c>
    </row>
    <row r="53" customHeight="true" ht="33.05">
      <c r="A53" s="8" t="inlineStr">
        <is>
          <t>365027493434</t>
        </is>
      </c>
      <c r="B53" s="9" t="inlineStr">
        <is>
          <t>365027493434</t>
        </is>
      </c>
      <c r="C53" s="10"/>
      <c r="D53" s="8" t="n">
        <v>0.0</v>
      </c>
      <c r="E53" s="8" t="n">
        <v>1.0</v>
      </c>
      <c r="F53" s="11" t="inlineStr">
        <is>
          <t>吉川 富子 [ヨシカワ ヒサコ]</t>
        </is>
      </c>
      <c r="G53" s="8" t="n">
        <f>R53&amp;S53&amp;T53&amp;U53&amp;V53</f>
        <v>0.0</v>
      </c>
      <c r="H53" s="8" t="inlineStr">
        <is>
          <t>090-2284-0135</t>
        </is>
      </c>
      <c r="I53" s="8" t="inlineStr">
        <is>
          <t>060-0033</t>
        </is>
      </c>
      <c r="J53" s="8" t="inlineStr">
        <is>
          <t>楽天-eightyone-H</t>
        </is>
      </c>
      <c r="K53" s="8" t="n">
        <f>W53&amp;X53&amp;Y53</f>
        <v>0.0</v>
      </c>
      <c r="L53" s="8"/>
      <c r="M53" s="8" t="inlineStr">
        <is>
          <t xml:space="preserve"> 036-161-6083</t>
        </is>
      </c>
      <c r="N53" s="16" t="inlineStr">
        <is>
          <t>148202040055</t>
        </is>
      </c>
      <c r="O53" s="8" t="inlineStr">
        <is>
          <t>Makeup Mirror</t>
        </is>
      </c>
      <c r="P53" s="8"/>
      <c r="Q53" s="8" t="inlineStr">
        <is>
          <t>365027493434</t>
        </is>
      </c>
      <c r="R53" s="8" t="inlineStr">
        <is>
          <t>北海道</t>
        </is>
      </c>
      <c r="S53" s="8" t="inlineStr">
        <is>
          <t>札幌市中央区</t>
        </is>
      </c>
      <c r="T53" s="8" t="inlineStr">
        <is>
          <t>北三条東11丁目338 プレミストタワーズ札幌苗穂AQUAGATE 2403（12:00-14:00配達希望）</t>
        </is>
      </c>
      <c r="U53" s="8"/>
      <c r="V53" s="8"/>
      <c r="W53" s="8"/>
      <c r="X53" s="8"/>
      <c r="Y53" s="8" t="inlineStr">
        <is>
          <t xml:space="preserve"> 東京都品川区平塚1-13-1</t>
        </is>
      </c>
    </row>
    <row r="54" customHeight="true" ht="33.05">
      <c r="A54" s="8" t="inlineStr">
        <is>
          <t>365027492885</t>
        </is>
      </c>
      <c r="B54" s="9" t="inlineStr">
        <is>
          <t>365027492885</t>
        </is>
      </c>
      <c r="C54" s="10" t="n">
        <v>46008.0</v>
      </c>
      <c r="D54" s="8" t="n">
        <v>0.0</v>
      </c>
      <c r="E54" s="8" t="n">
        <v>1.0</v>
      </c>
      <c r="F54" s="11" t="inlineStr">
        <is>
          <t>林 恵利</t>
        </is>
      </c>
      <c r="G54" s="8" t="n">
        <f>R54&amp;S54&amp;T54&amp;U54&amp;V54</f>
        <v>0.0</v>
      </c>
      <c r="H54" s="8" t="inlineStr">
        <is>
          <t>090-2129-0540</t>
        </is>
      </c>
      <c r="I54" s="8" t="inlineStr">
        <is>
          <t>152-0013</t>
        </is>
      </c>
      <c r="J54" s="8" t="inlineStr">
        <is>
          <t>ラッキーストライク</t>
        </is>
      </c>
      <c r="K54" s="8" t="n">
        <f>W54&amp;X54&amp;Y54</f>
        <v>0.0</v>
      </c>
      <c r="L54" s="8"/>
      <c r="M54" s="8" t="inlineStr">
        <is>
          <t xml:space="preserve"> 05030911547</t>
        </is>
      </c>
      <c r="N54" s="16" t="inlineStr">
        <is>
          <t>148202040055</t>
        </is>
      </c>
      <c r="O54" s="8" t="inlineStr">
        <is>
          <t>Track toys</t>
        </is>
      </c>
      <c r="P54" s="8"/>
      <c r="Q54" s="8" t="inlineStr">
        <is>
          <t>365027492885</t>
        </is>
      </c>
      <c r="R54" s="8" t="inlineStr">
        <is>
          <t>東京都</t>
        </is>
      </c>
      <c r="S54" s="8" t="inlineStr">
        <is>
          <t>目黒区</t>
        </is>
      </c>
      <c r="T54" s="8" t="inlineStr">
        <is>
          <t>南2-8-17-156</t>
        </is>
      </c>
      <c r="U54" s="8"/>
      <c r="V54" s="8"/>
      <c r="W54" s="8"/>
      <c r="X54" s="8"/>
      <c r="Y54" s="8" t="inlineStr">
        <is>
          <t xml:space="preserve"> 東京都西多摩郡奥多摩町留浦１０１８</t>
        </is>
      </c>
    </row>
    <row r="55" customHeight="true" ht="33.05">
      <c r="A55" s="8" t="inlineStr">
        <is>
          <t>365027473311</t>
        </is>
      </c>
      <c r="B55" s="9" t="inlineStr">
        <is>
          <t>365027473311</t>
        </is>
      </c>
      <c r="C55" s="10"/>
      <c r="D55" s="8" t="n">
        <v>0.0</v>
      </c>
      <c r="E55" s="8" t="n">
        <v>1.0</v>
      </c>
      <c r="F55" s="11" t="inlineStr">
        <is>
          <t>翔 浜田</t>
        </is>
      </c>
      <c r="G55" s="8" t="n">
        <f>R55&amp;S55&amp;T55&amp;U55&amp;V55</f>
        <v>0.0</v>
      </c>
      <c r="H55" s="8" t="inlineStr">
        <is>
          <t>9067078729</t>
        </is>
      </c>
      <c r="I55" s="8" t="inlineStr">
        <is>
          <t>359-1151</t>
        </is>
      </c>
      <c r="J55" s="8"/>
      <c r="K55" s="8" t="n">
        <f>W55&amp;X55&amp;Y55</f>
        <v>0.0</v>
      </c>
      <c r="L55" s="8"/>
      <c r="M55" s="8" t="inlineStr">
        <is>
          <t xml:space="preserve"> </t>
        </is>
      </c>
      <c r="N55" s="16" t="inlineStr">
        <is>
          <t>148202040055</t>
        </is>
      </c>
      <c r="O55" s="8" t="inlineStr">
        <is>
          <t>plastic toys</t>
        </is>
      </c>
      <c r="P55" s="8"/>
      <c r="Q55" s="8" t="inlineStr">
        <is>
          <t>365027473311</t>
        </is>
      </c>
      <c r="R55" s="8"/>
      <c r="S55" s="8"/>
      <c r="T55" s="8" t="inlineStr">
        <is>
          <t>埼玉県所沢市若狭4-867-6</t>
        </is>
      </c>
      <c r="U55" s="8"/>
      <c r="V55" s="8"/>
      <c r="W55" s="8"/>
      <c r="X55" s="8"/>
      <c r="Y55" s="8" t="inlineStr">
        <is>
          <t xml:space="preserve"> </t>
        </is>
      </c>
    </row>
    <row r="56" customHeight="true" ht="33.05">
      <c r="A56" s="8" t="inlineStr">
        <is>
          <t>365027472132</t>
        </is>
      </c>
      <c r="B56" s="9" t="inlineStr">
        <is>
          <t>365027472132</t>
        </is>
      </c>
      <c r="C56" s="10"/>
      <c r="D56" s="8" t="n">
        <v>0.0</v>
      </c>
      <c r="E56" s="8" t="n">
        <v>1.0</v>
      </c>
      <c r="F56" s="11" t="inlineStr">
        <is>
          <t>Zhang li kun</t>
        </is>
      </c>
      <c r="G56" s="8" t="n">
        <f>R56&amp;S56&amp;T56&amp;U56&amp;V56</f>
        <v>0.0</v>
      </c>
      <c r="H56" s="8" t="inlineStr">
        <is>
          <t>03-3253-5811</t>
        </is>
      </c>
      <c r="I56" s="8" t="inlineStr">
        <is>
          <t>101-0025</t>
        </is>
      </c>
      <c r="J56" s="8"/>
      <c r="K56" s="8" t="n">
        <f>W56&amp;X56&amp;Y56</f>
        <v>0.0</v>
      </c>
      <c r="L56" s="8"/>
      <c r="M56" s="8" t="inlineStr">
        <is>
          <t xml:space="preserve"> </t>
        </is>
      </c>
      <c r="N56" s="16" t="inlineStr">
        <is>
          <t>148202040055</t>
        </is>
      </c>
      <c r="O56" s="8" t="inlineStr">
        <is>
          <t>plastic toys</t>
        </is>
      </c>
      <c r="P56" s="8"/>
      <c r="Q56" s="8" t="inlineStr">
        <is>
          <t>365027472132</t>
        </is>
      </c>
      <c r="R56" s="8"/>
      <c r="S56" s="8"/>
      <c r="T56" s="8" t="inlineStr">
        <is>
          <t>東京都千代田区神田佐久間町1-17 4F</t>
        </is>
      </c>
      <c r="U56" s="8"/>
      <c r="V56" s="8"/>
      <c r="W56" s="8"/>
      <c r="X56" s="8"/>
      <c r="Y56" s="8" t="inlineStr">
        <is>
          <t xml:space="preserve"> </t>
        </is>
      </c>
    </row>
    <row r="57" customHeight="true" ht="33.05">
      <c r="A57" s="8" t="inlineStr">
        <is>
          <t>365027493121</t>
        </is>
      </c>
      <c r="B57" s="9" t="inlineStr">
        <is>
          <t>365027493121</t>
        </is>
      </c>
      <c r="C57" s="10"/>
      <c r="D57" s="8" t="n">
        <v>14.0</v>
      </c>
      <c r="E57" s="8" t="n">
        <v>1.0</v>
      </c>
      <c r="F57" s="11" t="inlineStr">
        <is>
          <t>パスタ屋 とらうさぎ3番店</t>
        </is>
      </c>
      <c r="G57" s="8" t="n">
        <f>R57&amp;S57&amp;T57&amp;U57&amp;V57</f>
        <v>0.0</v>
      </c>
      <c r="H57" s="8" t="inlineStr">
        <is>
          <t>044-982-1638</t>
        </is>
      </c>
      <c r="I57" s="8" t="inlineStr">
        <is>
          <t>211-0041</t>
        </is>
      </c>
      <c r="J57" s="8" t="inlineStr">
        <is>
          <t>楽天-Rumay-D</t>
        </is>
      </c>
      <c r="K57" s="8" t="n">
        <f>W57&amp;X57&amp;Y57</f>
        <v>0.0</v>
      </c>
      <c r="L57" s="8"/>
      <c r="M57" s="8" t="inlineStr">
        <is>
          <t xml:space="preserve"> 072-703-4761</t>
        </is>
      </c>
      <c r="N57" s="16" t="inlineStr">
        <is>
          <t>148202040055</t>
        </is>
      </c>
      <c r="O57" s="8" t="inlineStr">
        <is>
          <t>Belt</t>
        </is>
      </c>
      <c r="P57" s="8"/>
      <c r="Q57" s="8" t="inlineStr">
        <is>
          <t>365027493121</t>
        </is>
      </c>
      <c r="R57" s="8" t="inlineStr">
        <is>
          <t>神奈川県</t>
        </is>
      </c>
      <c r="S57" s="8" t="inlineStr">
        <is>
          <t>川崎市中原区</t>
        </is>
      </c>
      <c r="T57" s="8" t="inlineStr">
        <is>
          <t>下小田中1-8-2 KFAビル1階（パスタ屋 とらうさぎ3番店）</t>
        </is>
      </c>
      <c r="U57" s="8"/>
      <c r="V57" s="8"/>
      <c r="W57" s="8"/>
      <c r="X57" s="8"/>
      <c r="Y57" s="8" t="inlineStr">
        <is>
          <t xml:space="preserve"> 中央区内本町2‐3‐8　ダイアパレスビル本町 1006ミズイシテクノロジー</t>
        </is>
      </c>
    </row>
    <row r="58" customHeight="true" ht="33.05">
      <c r="A58" s="8" t="inlineStr">
        <is>
          <t>365027493272</t>
        </is>
      </c>
      <c r="B58" s="9" t="inlineStr">
        <is>
          <t>365027493272</t>
        </is>
      </c>
      <c r="C58" s="10"/>
      <c r="D58" s="8" t="n">
        <v>0.0</v>
      </c>
      <c r="E58" s="8" t="n">
        <v>1.0</v>
      </c>
      <c r="F58" s="11" t="inlineStr">
        <is>
          <t>今川 亜由美 [イマガワ アユミ]</t>
        </is>
      </c>
      <c r="G58" s="8" t="n">
        <f>R58&amp;S58&amp;T58&amp;U58&amp;V58</f>
        <v>0.0</v>
      </c>
      <c r="H58" s="8" t="inlineStr">
        <is>
          <t>090-4782-4051</t>
        </is>
      </c>
      <c r="I58" s="8" t="inlineStr">
        <is>
          <t>769-1407</t>
        </is>
      </c>
      <c r="J58" s="8" t="inlineStr">
        <is>
          <t>楽天-KAMCITY-L</t>
        </is>
      </c>
      <c r="K58" s="8" t="n">
        <f>W58&amp;X58&amp;Y58</f>
        <v>0.0</v>
      </c>
      <c r="L58" s="8"/>
      <c r="M58" s="8" t="inlineStr">
        <is>
          <t xml:space="preserve"> 070-1432-7896</t>
        </is>
      </c>
      <c r="N58" s="16" t="inlineStr">
        <is>
          <t>148202040055</t>
        </is>
      </c>
      <c r="O58" s="8" t="inlineStr">
        <is>
          <t>Led light</t>
        </is>
      </c>
      <c r="P58" s="8"/>
      <c r="Q58" s="8" t="inlineStr">
        <is>
          <t>365027493272</t>
        </is>
      </c>
      <c r="R58" s="8" t="inlineStr">
        <is>
          <t>香川県</t>
        </is>
      </c>
      <c r="S58" s="8" t="inlineStr">
        <is>
          <t>三豊市</t>
        </is>
      </c>
      <c r="T58" s="8" t="inlineStr">
        <is>
          <t>仁尾町仁尾丁1452-30</t>
        </is>
      </c>
      <c r="U58" s="8"/>
      <c r="V58" s="8"/>
      <c r="W58" s="8"/>
      <c r="X58" s="8"/>
      <c r="Y58" s="8" t="inlineStr">
        <is>
          <t xml:space="preserve"> 内本町2‐3‐8</t>
        </is>
      </c>
    </row>
    <row r="59" customHeight="true" ht="33.05">
      <c r="A59" s="8" t="inlineStr">
        <is>
          <t>365027493040</t>
        </is>
      </c>
      <c r="B59" s="9" t="inlineStr">
        <is>
          <t>365027493040</t>
        </is>
      </c>
      <c r="C59" s="10"/>
      <c r="D59" s="8" t="n">
        <v>0.0</v>
      </c>
      <c r="E59" s="8" t="n">
        <v>1.0</v>
      </c>
      <c r="F59" s="11" t="inlineStr">
        <is>
          <t>林 竜生</t>
        </is>
      </c>
      <c r="G59" s="8" t="n">
        <f>R59&amp;S59&amp;T59&amp;U59&amp;V59</f>
        <v>0.0</v>
      </c>
      <c r="H59" s="8" t="inlineStr">
        <is>
          <t>090-1472-7900</t>
        </is>
      </c>
      <c r="I59" s="8" t="inlineStr">
        <is>
          <t>502-0002</t>
        </is>
      </c>
      <c r="J59" s="8" t="inlineStr">
        <is>
          <t>I.M.P楽天市場店</t>
        </is>
      </c>
      <c r="K59" s="8" t="n">
        <f>W59&amp;X59&amp;Y59</f>
        <v>0.0</v>
      </c>
      <c r="L59" s="8"/>
      <c r="M59" s="8" t="inlineStr">
        <is>
          <t xml:space="preserve"> 050-3092-1704</t>
        </is>
      </c>
      <c r="N59" s="16" t="inlineStr">
        <is>
          <t>148202040055</t>
        </is>
      </c>
      <c r="O59" s="8" t="inlineStr">
        <is>
          <t>toy</t>
        </is>
      </c>
      <c r="P59" s="8"/>
      <c r="Q59" s="8" t="inlineStr">
        <is>
          <t>365027493040</t>
        </is>
      </c>
      <c r="R59" s="8" t="inlineStr">
        <is>
          <t>岐阜県</t>
        </is>
      </c>
      <c r="S59" s="8" t="inlineStr">
        <is>
          <t>岐阜市</t>
        </is>
      </c>
      <c r="T59" s="8" t="inlineStr">
        <is>
          <t>粟野東3丁目210番地</t>
        </is>
      </c>
      <c r="U59" s="8"/>
      <c r="V59" s="8"/>
      <c r="W59" s="8"/>
      <c r="X59" s="8"/>
      <c r="Y59" s="8" t="inlineStr">
        <is>
          <t xml:space="preserve"> 滋賀県甲賀市甲南町野尻558</t>
        </is>
      </c>
    </row>
    <row r="60" customHeight="true" ht="33.05">
      <c r="A60" s="8" t="inlineStr">
        <is>
          <t>365027492804</t>
        </is>
      </c>
      <c r="B60" s="9" t="inlineStr">
        <is>
          <t>365027492804</t>
        </is>
      </c>
      <c r="C60" s="10"/>
      <c r="D60" s="8" t="n">
        <v>0.0</v>
      </c>
      <c r="E60" s="8" t="n">
        <v>1.0</v>
      </c>
      <c r="F60" s="11" t="inlineStr">
        <is>
          <t>野沢 琴美</t>
        </is>
      </c>
      <c r="G60" s="8" t="n">
        <f>R60&amp;S60&amp;T60&amp;U60&amp;V60</f>
        <v>0.0</v>
      </c>
      <c r="H60" s="8" t="inlineStr">
        <is>
          <t>080-5482-5103</t>
        </is>
      </c>
      <c r="I60" s="8" t="inlineStr">
        <is>
          <t>179-0074</t>
        </is>
      </c>
      <c r="J60" s="8" t="inlineStr">
        <is>
          <t>スマイルファミリー</t>
        </is>
      </c>
      <c r="K60" s="8" t="n">
        <f>W60&amp;X60&amp;Y60</f>
        <v>0.0</v>
      </c>
      <c r="L60" s="8"/>
      <c r="M60" s="8" t="inlineStr">
        <is>
          <t xml:space="preserve"> 04-6364-2754</t>
        </is>
      </c>
      <c r="N60" s="16" t="inlineStr">
        <is>
          <t>148202040055</t>
        </is>
      </c>
      <c r="O60" s="8" t="inlineStr">
        <is>
          <t>Beach Toys</t>
        </is>
      </c>
      <c r="P60" s="8"/>
      <c r="Q60" s="8" t="inlineStr">
        <is>
          <t>365027492804</t>
        </is>
      </c>
      <c r="R60" s="8" t="inlineStr">
        <is>
          <t>東京都</t>
        </is>
      </c>
      <c r="S60" s="8" t="inlineStr">
        <is>
          <t>練馬区</t>
        </is>
      </c>
      <c r="T60" s="8" t="inlineStr">
        <is>
          <t>春日町4-19-22</t>
        </is>
      </c>
      <c r="U60" s="8"/>
      <c r="V60" s="8"/>
      <c r="W60" s="8"/>
      <c r="X60" s="8"/>
      <c r="Y60" s="8" t="inlineStr">
        <is>
          <t xml:space="preserve"> 神奈川県秦野市戸川４７０－７</t>
        </is>
      </c>
    </row>
    <row r="61" customHeight="true" ht="33.05">
      <c r="A61" s="8" t="inlineStr">
        <is>
          <t>365027492841</t>
        </is>
      </c>
      <c r="B61" s="9" t="inlineStr">
        <is>
          <t>365027492841</t>
        </is>
      </c>
      <c r="C61" s="10" t="n">
        <v>46007.0</v>
      </c>
      <c r="D61" s="8" t="n">
        <v>16.0</v>
      </c>
      <c r="E61" s="8" t="n">
        <v>1.0</v>
      </c>
      <c r="F61" s="11" t="inlineStr">
        <is>
          <t>長谷川 由美</t>
        </is>
      </c>
      <c r="G61" s="8" t="n">
        <f>R61&amp;S61&amp;T61&amp;U61&amp;V61</f>
        <v>0.0</v>
      </c>
      <c r="H61" s="8" t="inlineStr">
        <is>
          <t>059-379-6707</t>
        </is>
      </c>
      <c r="I61" s="8" t="inlineStr">
        <is>
          <t>513-0011</t>
        </is>
      </c>
      <c r="J61" s="8" t="inlineStr">
        <is>
          <t>FINTRUE</t>
        </is>
      </c>
      <c r="K61" s="8" t="n">
        <f>W61&amp;X61&amp;Y61</f>
        <v>0.0</v>
      </c>
      <c r="L61" s="8"/>
      <c r="M61" s="8" t="inlineStr">
        <is>
          <t xml:space="preserve"> 05058401648</t>
        </is>
      </c>
      <c r="N61" s="16" t="inlineStr">
        <is>
          <t>148202040055</t>
        </is>
      </c>
      <c r="O61" s="8" t="inlineStr">
        <is>
          <t>Backrest pillow</t>
        </is>
      </c>
      <c r="P61" s="8"/>
      <c r="Q61" s="8" t="inlineStr">
        <is>
          <t>365027492841</t>
        </is>
      </c>
      <c r="R61" s="8" t="inlineStr">
        <is>
          <t>三重県</t>
        </is>
      </c>
      <c r="S61" s="8" t="inlineStr">
        <is>
          <t>鈴鹿市</t>
        </is>
      </c>
      <c r="T61" s="8" t="inlineStr">
        <is>
          <t>高塚町183-20</t>
        </is>
      </c>
      <c r="U61" s="8"/>
      <c r="V61" s="8"/>
      <c r="W61" s="8"/>
      <c r="X61" s="8"/>
      <c r="Y61" s="8" t="inlineStr">
        <is>
          <t xml:space="preserve"> 大阪府大阪市中央区安堂寺町2-1-3-901</t>
        </is>
      </c>
    </row>
    <row r="62" customHeight="true" ht="33.05">
      <c r="A62" s="8" t="inlineStr">
        <is>
          <t>365027493180</t>
        </is>
      </c>
      <c r="B62" s="9" t="inlineStr">
        <is>
          <t>365027493180</t>
        </is>
      </c>
      <c r="C62" s="10"/>
      <c r="D62" s="8" t="n">
        <v>0.0</v>
      </c>
      <c r="E62" s="8" t="n">
        <v>1.0</v>
      </c>
      <c r="F62" s="11" t="inlineStr">
        <is>
          <t>福永 つよみ</t>
        </is>
      </c>
      <c r="G62" s="8" t="n">
        <f>R62&amp;S62&amp;T62&amp;U62&amp;V62</f>
        <v>0.0</v>
      </c>
      <c r="H62" s="8" t="inlineStr">
        <is>
          <t>090-5268-9908</t>
        </is>
      </c>
      <c r="I62" s="8" t="inlineStr">
        <is>
          <t>751-0859</t>
        </is>
      </c>
      <c r="J62" s="8" t="inlineStr">
        <is>
          <t>ラッキーストライク</t>
        </is>
      </c>
      <c r="K62" s="8" t="n">
        <f>W62&amp;X62&amp;Y62</f>
        <v>0.0</v>
      </c>
      <c r="L62" s="8"/>
      <c r="M62" s="8" t="inlineStr">
        <is>
          <t xml:space="preserve"> 05030911547</t>
        </is>
      </c>
      <c r="N62" s="16" t="inlineStr">
        <is>
          <t>148202040055</t>
        </is>
      </c>
      <c r="O62" s="8" t="inlineStr">
        <is>
          <t>Crystal lotus candle holder</t>
        </is>
      </c>
      <c r="P62" s="8"/>
      <c r="Q62" s="8" t="inlineStr">
        <is>
          <t>365027493180</t>
        </is>
      </c>
      <c r="R62" s="8" t="inlineStr">
        <is>
          <t>山口県</t>
        </is>
      </c>
      <c r="S62" s="8" t="inlineStr">
        <is>
          <t>下関市</t>
        </is>
      </c>
      <c r="T62" s="8" t="inlineStr">
        <is>
          <t>川中本町1-1513</t>
        </is>
      </c>
      <c r="U62" s="8"/>
      <c r="V62" s="8"/>
      <c r="W62" s="8"/>
      <c r="X62" s="8"/>
      <c r="Y62" s="8" t="inlineStr">
        <is>
          <t xml:space="preserve"> 東京都西多摩郡奥多摩町留浦１０１８</t>
        </is>
      </c>
    </row>
    <row r="63" customHeight="true" ht="33.05">
      <c r="A63" s="8" t="inlineStr">
        <is>
          <t>365027493412</t>
        </is>
      </c>
      <c r="B63" s="9" t="inlineStr">
        <is>
          <t>365027493412</t>
        </is>
      </c>
      <c r="C63" s="10" t="n">
        <v>46005.0</v>
      </c>
      <c r="D63" s="8" t="n">
        <v>16.0</v>
      </c>
      <c r="E63" s="8" t="n">
        <v>1.0</v>
      </c>
      <c r="F63" s="11" t="inlineStr">
        <is>
          <t>桜井 幸夫 [サクライ ユキオ]</t>
        </is>
      </c>
      <c r="G63" s="8" t="n">
        <f>R63&amp;S63&amp;T63&amp;U63&amp;V63</f>
        <v>0.0</v>
      </c>
      <c r="H63" s="8" t="inlineStr">
        <is>
          <t>045-851-7288</t>
        </is>
      </c>
      <c r="I63" s="8" t="inlineStr">
        <is>
          <t>245-0063</t>
        </is>
      </c>
      <c r="J63" s="8" t="inlineStr">
        <is>
          <t>楽天-Rumay-D</t>
        </is>
      </c>
      <c r="K63" s="8" t="n">
        <f>W63&amp;X63&amp;Y63</f>
        <v>0.0</v>
      </c>
      <c r="L63" s="8"/>
      <c r="M63" s="8" t="inlineStr">
        <is>
          <t xml:space="preserve"> 072-703-4761</t>
        </is>
      </c>
      <c r="N63" s="16" t="inlineStr">
        <is>
          <t>148202040055</t>
        </is>
      </c>
      <c r="O63" s="8" t="inlineStr">
        <is>
          <t>fitness belt</t>
        </is>
      </c>
      <c r="P63" s="8"/>
      <c r="Q63" s="8" t="inlineStr">
        <is>
          <t>365027493412</t>
        </is>
      </c>
      <c r="R63" s="8" t="inlineStr">
        <is>
          <t>神奈川県</t>
        </is>
      </c>
      <c r="S63" s="8" t="inlineStr">
        <is>
          <t>横浜市戸塚区</t>
        </is>
      </c>
      <c r="T63" s="8" t="inlineStr">
        <is>
          <t>原宿1-47-4</t>
        </is>
      </c>
      <c r="U63" s="8"/>
      <c r="V63" s="8"/>
      <c r="W63" s="8"/>
      <c r="X63" s="8"/>
      <c r="Y63" s="8" t="inlineStr">
        <is>
          <t xml:space="preserve"> 中央区内本町2‐3‐8　ダイアパレスビル本町 1006ミズイシテクノロジー</t>
        </is>
      </c>
    </row>
    <row r="64" customHeight="true" ht="33.05">
      <c r="A64" s="8" t="inlineStr">
        <is>
          <t>365027472165</t>
        </is>
      </c>
      <c r="B64" s="9" t="inlineStr">
        <is>
          <t>365027472165</t>
        </is>
      </c>
      <c r="C64" s="10"/>
      <c r="D64" s="8" t="n">
        <v>0.0</v>
      </c>
      <c r="E64" s="8" t="n">
        <v>1.0</v>
      </c>
      <c r="F64" s="11" t="inlineStr">
        <is>
          <t>楓 後藤</t>
        </is>
      </c>
      <c r="G64" s="8" t="n">
        <f>R64&amp;S64&amp;T64&amp;U64&amp;V64</f>
        <v>0.0</v>
      </c>
      <c r="H64" s="8" t="inlineStr">
        <is>
          <t>08017598887</t>
        </is>
      </c>
      <c r="I64" s="8" t="inlineStr">
        <is>
          <t>804-0011</t>
        </is>
      </c>
      <c r="J64" s="8"/>
      <c r="K64" s="8" t="n">
        <f>W64&amp;X64&amp;Y64</f>
        <v>0.0</v>
      </c>
      <c r="L64" s="8"/>
      <c r="M64" s="8" t="inlineStr">
        <is>
          <t xml:space="preserve"> </t>
        </is>
      </c>
      <c r="N64" s="16" t="inlineStr">
        <is>
          <t>148202040055</t>
        </is>
      </c>
      <c r="O64" s="8" t="inlineStr">
        <is>
          <t>plastic toys</t>
        </is>
      </c>
      <c r="P64" s="8"/>
      <c r="Q64" s="8" t="inlineStr">
        <is>
          <t>365027472165</t>
        </is>
      </c>
      <c r="R64" s="8"/>
      <c r="S64" s="8"/>
      <c r="T64" s="8" t="inlineStr">
        <is>
          <t>福岡県 城市 北九州市戸畑区中原西 地址 1-11-6</t>
        </is>
      </c>
      <c r="U64" s="8"/>
      <c r="V64" s="8"/>
      <c r="W64" s="8"/>
      <c r="X64" s="8"/>
      <c r="Y64" s="8" t="inlineStr">
        <is>
          <t xml:space="preserve"> </t>
        </is>
      </c>
    </row>
    <row r="65" customHeight="true" ht="33.05">
      <c r="A65" s="8" t="inlineStr">
        <is>
          <t>365027469925</t>
        </is>
      </c>
      <c r="B65" s="9" t="inlineStr">
        <is>
          <t>365027469925</t>
        </is>
      </c>
      <c r="C65" s="10"/>
      <c r="D65" s="8" t="n">
        <v>0.0</v>
      </c>
      <c r="E65" s="8" t="n">
        <v>1.0</v>
      </c>
      <c r="F65" s="11" t="inlineStr">
        <is>
          <t>安达翔</t>
        </is>
      </c>
      <c r="G65" s="8" t="n">
        <f>R65&amp;S65&amp;T65&amp;U65&amp;V65</f>
        <v>0.0</v>
      </c>
      <c r="H65" s="8" t="inlineStr">
        <is>
          <t>08059682833</t>
        </is>
      </c>
      <c r="I65" s="8" t="inlineStr">
        <is>
          <t>350-1317</t>
        </is>
      </c>
      <c r="J65" s="8"/>
      <c r="K65" s="8" t="n">
        <f>W65&amp;X65&amp;Y65</f>
        <v>0.0</v>
      </c>
      <c r="L65" s="8"/>
      <c r="M65" s="8" t="inlineStr">
        <is>
          <t xml:space="preserve"> </t>
        </is>
      </c>
      <c r="N65" s="16" t="inlineStr">
        <is>
          <t>148202040055</t>
        </is>
      </c>
      <c r="O65" s="8" t="inlineStr">
        <is>
          <t>plastic toys</t>
        </is>
      </c>
      <c r="P65" s="8"/>
      <c r="Q65" s="8" t="inlineStr">
        <is>
          <t>365027469925</t>
        </is>
      </c>
      <c r="R65" s="8"/>
      <c r="S65" s="8"/>
      <c r="T65" s="8" t="inlineStr">
        <is>
          <t>埼玉県狭山市大字水野５０７－１</t>
        </is>
      </c>
      <c r="U65" s="8"/>
      <c r="V65" s="8"/>
      <c r="W65" s="8"/>
      <c r="X65" s="8"/>
      <c r="Y65" s="8" t="inlineStr">
        <is>
          <t xml:space="preserve"> </t>
        </is>
      </c>
    </row>
    <row r="66" customHeight="true" ht="33.05">
      <c r="A66" s="8" t="inlineStr">
        <is>
          <t>365027469855</t>
        </is>
      </c>
      <c r="B66" s="9" t="inlineStr">
        <is>
          <t>365027469855</t>
        </is>
      </c>
      <c r="C66" s="10"/>
      <c r="D66" s="8" t="n">
        <v>0.0</v>
      </c>
      <c r="E66" s="8" t="n">
        <v>1.0</v>
      </c>
      <c r="F66" s="11" t="inlineStr">
        <is>
          <t>安达翔</t>
        </is>
      </c>
      <c r="G66" s="8" t="n">
        <f>R66&amp;S66&amp;T66&amp;U66&amp;V66</f>
        <v>0.0</v>
      </c>
      <c r="H66" s="8" t="inlineStr">
        <is>
          <t>08059682833</t>
        </is>
      </c>
      <c r="I66" s="8" t="inlineStr">
        <is>
          <t>350-1317</t>
        </is>
      </c>
      <c r="J66" s="8"/>
      <c r="K66" s="8" t="n">
        <f>W66&amp;X66&amp;Y66</f>
        <v>0.0</v>
      </c>
      <c r="L66" s="8"/>
      <c r="M66" s="8" t="inlineStr">
        <is>
          <t xml:space="preserve"> </t>
        </is>
      </c>
      <c r="N66" s="16" t="inlineStr">
        <is>
          <t>148202040055</t>
        </is>
      </c>
      <c r="O66" s="8" t="inlineStr">
        <is>
          <t>FAN</t>
        </is>
      </c>
      <c r="P66" s="8"/>
      <c r="Q66" s="8" t="inlineStr">
        <is>
          <t>365027469855</t>
        </is>
      </c>
      <c r="R66" s="8"/>
      <c r="S66" s="8"/>
      <c r="T66" s="8" t="inlineStr">
        <is>
          <t>埼玉県狭山市大字水野５０７－１</t>
        </is>
      </c>
      <c r="U66" s="8"/>
      <c r="V66" s="8"/>
      <c r="W66" s="8"/>
      <c r="X66" s="8"/>
      <c r="Y66" s="8" t="inlineStr">
        <is>
          <t xml:space="preserve"> </t>
        </is>
      </c>
    </row>
    <row r="67" customHeight="true" ht="33.05">
      <c r="A67" s="8" t="inlineStr">
        <is>
          <t>365027492701</t>
        </is>
      </c>
      <c r="B67" s="9" t="inlineStr">
        <is>
          <t>365027492701</t>
        </is>
      </c>
      <c r="C67" s="10" t="n">
        <v>46013.0</v>
      </c>
      <c r="D67" s="8" t="n">
        <v>0.0</v>
      </c>
      <c r="E67" s="8" t="n">
        <v>1.0</v>
      </c>
      <c r="F67" s="11" t="inlineStr">
        <is>
          <t>佐久間 美悠菜 [サクマ ミユナ]</t>
        </is>
      </c>
      <c r="G67" s="8" t="n">
        <f>R67&amp;S67&amp;T67&amp;U67&amp;V67</f>
        <v>0.0</v>
      </c>
      <c r="H67" s="8" t="inlineStr">
        <is>
          <t>090-6624-3057</t>
        </is>
      </c>
      <c r="I67" s="8" t="inlineStr">
        <is>
          <t>963-0201</t>
        </is>
      </c>
      <c r="J67" s="8" t="inlineStr">
        <is>
          <t>楽天-kaneshiro</t>
        </is>
      </c>
      <c r="K67" s="8" t="n">
        <f>W67&amp;X67&amp;Y67</f>
        <v>0.0</v>
      </c>
      <c r="L67" s="8"/>
      <c r="M67" s="8" t="inlineStr">
        <is>
          <t xml:space="preserve"> 05030921748</t>
        </is>
      </c>
      <c r="N67" s="16" t="inlineStr">
        <is>
          <t>148202040055</t>
        </is>
      </c>
      <c r="O67" s="8" t="inlineStr">
        <is>
          <t>Camping toys,bag</t>
        </is>
      </c>
      <c r="P67" s="8"/>
      <c r="Q67" s="8" t="inlineStr">
        <is>
          <t>365027492701</t>
        </is>
      </c>
      <c r="R67" s="8" t="inlineStr">
        <is>
          <t>福島県</t>
        </is>
      </c>
      <c r="S67" s="8" t="inlineStr">
        <is>
          <t>郡山市</t>
        </is>
      </c>
      <c r="T67" s="8" t="inlineStr">
        <is>
          <t>大槻町字針生北30-5</t>
        </is>
      </c>
      <c r="U67" s="8"/>
      <c r="V67" s="8"/>
      <c r="W67" s="8"/>
      <c r="X67" s="8"/>
      <c r="Y67" s="8" t="inlineStr">
        <is>
          <t xml:space="preserve"> 大阪府大阪市東住吉区住道矢田七丁目１０番１３号</t>
        </is>
      </c>
    </row>
    <row r="68" customHeight="true" ht="33.05">
      <c r="A68" s="8" t="inlineStr">
        <is>
          <t>365027492734</t>
        </is>
      </c>
      <c r="B68" s="9" t="inlineStr">
        <is>
          <t>365027492734</t>
        </is>
      </c>
      <c r="C68" s="10"/>
      <c r="D68" s="8" t="n">
        <v>0.0</v>
      </c>
      <c r="E68" s="8" t="n">
        <v>1.0</v>
      </c>
      <c r="F68" s="11" t="inlineStr">
        <is>
          <t>JEONG EUI KYEOM</t>
        </is>
      </c>
      <c r="G68" s="8" t="n">
        <f>R68&amp;S68&amp;T68&amp;U68&amp;V68</f>
        <v>0.0</v>
      </c>
      <c r="H68" s="8" t="inlineStr">
        <is>
          <t>070-9111-3307</t>
        </is>
      </c>
      <c r="I68" s="8" t="inlineStr">
        <is>
          <t>101-0025</t>
        </is>
      </c>
      <c r="J68" s="8" t="inlineStr">
        <is>
          <t>ジョシュミル</t>
        </is>
      </c>
      <c r="K68" s="8" t="n">
        <f>W68&amp;X68&amp;Y68</f>
        <v>0.0</v>
      </c>
      <c r="L68" s="8"/>
      <c r="M68" s="8" t="inlineStr">
        <is>
          <t xml:space="preserve"> 050-3092-1704</t>
        </is>
      </c>
      <c r="N68" s="16" t="inlineStr">
        <is>
          <t>148202040055</t>
        </is>
      </c>
      <c r="O68" s="8" t="inlineStr">
        <is>
          <t>Cleaning supplies</t>
        </is>
      </c>
      <c r="P68" s="8"/>
      <c r="Q68" s="8" t="inlineStr">
        <is>
          <t>365027492734</t>
        </is>
      </c>
      <c r="R68" s="8" t="inlineStr">
        <is>
          <t>東京都</t>
        </is>
      </c>
      <c r="S68" s="8" t="inlineStr">
        <is>
          <t>千代田区神田佐久間4-15-1</t>
        </is>
      </c>
      <c r="T68" s="8" t="inlineStr">
        <is>
          <t>PREMIUM CUBE 秋葉原1301号</t>
        </is>
      </c>
      <c r="U68" s="8"/>
      <c r="V68" s="8"/>
      <c r="W68" s="8"/>
      <c r="X68" s="8"/>
      <c r="Y68" s="8" t="inlineStr">
        <is>
          <t xml:space="preserve"> 山形県山形市上町２－９－５</t>
        </is>
      </c>
    </row>
    <row r="69" customHeight="true" ht="33.05">
      <c r="A69" s="8" t="inlineStr">
        <is>
          <t>365027492970</t>
        </is>
      </c>
      <c r="B69" s="9" t="inlineStr">
        <is>
          <t>365027492970</t>
        </is>
      </c>
      <c r="C69" s="10"/>
      <c r="D69" s="8" t="n">
        <v>0.0</v>
      </c>
      <c r="E69" s="8" t="n">
        <v>1.0</v>
      </c>
      <c r="F69" s="11" t="inlineStr">
        <is>
          <t>安居 彰子</t>
        </is>
      </c>
      <c r="G69" s="8" t="n">
        <f>R69&amp;S69&amp;T69&amp;U69&amp;V69</f>
        <v>0.0</v>
      </c>
      <c r="H69" s="8" t="inlineStr">
        <is>
          <t>03-3722-8488</t>
        </is>
      </c>
      <c r="I69" s="8" t="inlineStr">
        <is>
          <t>145-0071</t>
        </is>
      </c>
      <c r="J69" s="8" t="inlineStr">
        <is>
          <t>JETMILLIO楽天市場店</t>
        </is>
      </c>
      <c r="K69" s="8" t="n">
        <f>W69&amp;X69&amp;Y69</f>
        <v>0.0</v>
      </c>
      <c r="L69" s="8"/>
      <c r="M69" s="8" t="inlineStr">
        <is>
          <t xml:space="preserve"> 050-3181-9787</t>
        </is>
      </c>
      <c r="N69" s="16" t="inlineStr">
        <is>
          <t>148202040055</t>
        </is>
      </c>
      <c r="O69" s="8" t="inlineStr">
        <is>
          <t>lamp</t>
        </is>
      </c>
      <c r="P69" s="8"/>
      <c r="Q69" s="8" t="inlineStr">
        <is>
          <t>365027492970</t>
        </is>
      </c>
      <c r="R69" s="8" t="inlineStr">
        <is>
          <t>東京都</t>
        </is>
      </c>
      <c r="S69" s="8" t="inlineStr">
        <is>
          <t>大田区</t>
        </is>
      </c>
      <c r="T69" s="8" t="inlineStr">
        <is>
          <t>田園調布5-50-6</t>
        </is>
      </c>
      <c r="U69" s="8"/>
      <c r="V69" s="8"/>
      <c r="W69" s="8"/>
      <c r="X69" s="8"/>
      <c r="Y69" s="8" t="inlineStr">
        <is>
          <t xml:space="preserve"> 東京都大田区上池台３－２４－１４スターハイツ洗足池２　２０２</t>
        </is>
      </c>
    </row>
    <row r="70" customHeight="true" ht="33.05">
      <c r="A70" s="8" t="inlineStr">
        <is>
          <t>365027493386</t>
        </is>
      </c>
      <c r="B70" s="9" t="inlineStr">
        <is>
          <t>365027493386</t>
        </is>
      </c>
      <c r="C70" s="10" t="n">
        <v>46015.0</v>
      </c>
      <c r="D70" s="8" t="n">
        <v>4.0</v>
      </c>
      <c r="E70" s="8" t="n">
        <v>1.0</v>
      </c>
      <c r="F70" s="11" t="inlineStr">
        <is>
          <t>隈井 慶 [クマイ ケイ]</t>
        </is>
      </c>
      <c r="G70" s="8" t="n">
        <f>R70&amp;S70&amp;T70&amp;U70&amp;V70</f>
        <v>0.0</v>
      </c>
      <c r="H70" s="8" t="inlineStr">
        <is>
          <t>080-5385-4790</t>
        </is>
      </c>
      <c r="I70" s="8" t="inlineStr">
        <is>
          <t>252-0804</t>
        </is>
      </c>
      <c r="J70" s="8" t="inlineStr">
        <is>
          <t>楽天-SUTAIRU-D</t>
        </is>
      </c>
      <c r="K70" s="8" t="n">
        <f>W70&amp;X70&amp;Y70</f>
        <v>0.0</v>
      </c>
      <c r="L70" s="8"/>
      <c r="M70" s="8" t="inlineStr">
        <is>
          <t xml:space="preserve"> 070-1432-7896</t>
        </is>
      </c>
      <c r="N70" s="16" t="inlineStr">
        <is>
          <t>148202040055</t>
        </is>
      </c>
      <c r="O70" s="8" t="inlineStr">
        <is>
          <t>Makeup Mirror</t>
        </is>
      </c>
      <c r="P70" s="8"/>
      <c r="Q70" s="8" t="inlineStr">
        <is>
          <t>365027493386</t>
        </is>
      </c>
      <c r="R70" s="8" t="inlineStr">
        <is>
          <t>神奈川県</t>
        </is>
      </c>
      <c r="S70" s="8" t="inlineStr">
        <is>
          <t>藤沢市</t>
        </is>
      </c>
      <c r="T70" s="8" t="inlineStr">
        <is>
          <t>湘南台1-21-18-301</t>
        </is>
      </c>
      <c r="U70" s="8"/>
      <c r="V70" s="8"/>
      <c r="W70" s="8"/>
      <c r="X70" s="8"/>
      <c r="Y70" s="8" t="inlineStr">
        <is>
          <t xml:space="preserve"> 内本町2‐3‐8</t>
        </is>
      </c>
    </row>
    <row r="71" customHeight="true" ht="33.05">
      <c r="A71" s="8" t="inlineStr">
        <is>
          <t>365027492896</t>
        </is>
      </c>
      <c r="B71" s="9" t="inlineStr">
        <is>
          <t>365027492896</t>
        </is>
      </c>
      <c r="C71" s="10"/>
      <c r="D71" s="8" t="n">
        <v>1.0</v>
      </c>
      <c r="E71" s="8" t="n">
        <v>1.0</v>
      </c>
      <c r="F71" s="11" t="inlineStr">
        <is>
          <t>江尻 知穂</t>
        </is>
      </c>
      <c r="G71" s="8" t="n">
        <f>R71&amp;S71&amp;T71&amp;U71&amp;V71</f>
        <v>0.0</v>
      </c>
      <c r="H71" s="8" t="inlineStr">
        <is>
          <t>070-2216-7412</t>
        </is>
      </c>
      <c r="I71" s="8" t="inlineStr">
        <is>
          <t>464-0013</t>
        </is>
      </c>
      <c r="J71" s="8" t="inlineStr">
        <is>
          <t>UT.village</t>
        </is>
      </c>
      <c r="K71" s="8" t="n">
        <f>W71&amp;X71&amp;Y71</f>
        <v>0.0</v>
      </c>
      <c r="L71" s="8"/>
      <c r="M71" s="8" t="inlineStr">
        <is>
          <t xml:space="preserve"> 05030979484</t>
        </is>
      </c>
      <c r="N71" s="16" t="inlineStr">
        <is>
          <t>148202040055</t>
        </is>
      </c>
      <c r="O71" s="8" t="inlineStr">
        <is>
          <t>Alarm clock</t>
        </is>
      </c>
      <c r="P71" s="8"/>
      <c r="Q71" s="8" t="inlineStr">
        <is>
          <t>365027492896</t>
        </is>
      </c>
      <c r="R71" s="8" t="inlineStr">
        <is>
          <t>愛知県</t>
        </is>
      </c>
      <c r="S71" s="8" t="inlineStr">
        <is>
          <t>名古屋市千種区</t>
        </is>
      </c>
      <c r="T71" s="8" t="inlineStr">
        <is>
          <t>汁谷町4-1 ヴィークステージ茶屋ヶ坂フォレストテラスF103</t>
        </is>
      </c>
      <c r="U71" s="8"/>
      <c r="V71" s="8"/>
      <c r="W71" s="8"/>
      <c r="X71" s="8"/>
      <c r="Y71" s="8" t="inlineStr">
        <is>
          <t xml:space="preserve"> 神奈川県川崎市高津区下作延２－２２－５クレイノアクアパレス２０５</t>
        </is>
      </c>
    </row>
    <row r="72" customHeight="true" ht="33.05">
      <c r="A72" s="8" t="inlineStr">
        <is>
          <t>365027493364</t>
        </is>
      </c>
      <c r="B72" s="9" t="inlineStr">
        <is>
          <t>365027493364</t>
        </is>
      </c>
      <c r="C72" s="10"/>
      <c r="D72" s="8" t="n">
        <v>0.0</v>
      </c>
      <c r="E72" s="8" t="n">
        <v>1.0</v>
      </c>
      <c r="F72" s="11" t="inlineStr">
        <is>
          <t>鎌田 利美</t>
        </is>
      </c>
      <c r="G72" s="8" t="n">
        <f>R72&amp;S72&amp;T72&amp;U72&amp;V72</f>
        <v>0.0</v>
      </c>
      <c r="H72" s="8" t="inlineStr">
        <is>
          <t>0470-47-3985</t>
        </is>
      </c>
      <c r="I72" s="8" t="inlineStr">
        <is>
          <t>299-2721</t>
        </is>
      </c>
      <c r="J72" s="8" t="inlineStr">
        <is>
          <t>JETMILLIO楽天市場店</t>
        </is>
      </c>
      <c r="K72" s="8" t="n">
        <f>W72&amp;X72&amp;Y72</f>
        <v>0.0</v>
      </c>
      <c r="L72" s="8"/>
      <c r="M72" s="8" t="inlineStr">
        <is>
          <t xml:space="preserve"> 050-3181-9787</t>
        </is>
      </c>
      <c r="N72" s="16" t="inlineStr">
        <is>
          <t>148202040055</t>
        </is>
      </c>
      <c r="O72" s="8" t="inlineStr">
        <is>
          <t>Children's educational toys</t>
        </is>
      </c>
      <c r="P72" s="8"/>
      <c r="Q72" s="8" t="inlineStr">
        <is>
          <t>365027493364</t>
        </is>
      </c>
      <c r="R72" s="8" t="inlineStr">
        <is>
          <t>千葉県</t>
        </is>
      </c>
      <c r="S72" s="8" t="inlineStr">
        <is>
          <t>南房総市</t>
        </is>
      </c>
      <c r="T72" s="8" t="inlineStr">
        <is>
          <t>和田町五十蔵69ー1</t>
        </is>
      </c>
      <c r="U72" s="8"/>
      <c r="V72" s="8"/>
      <c r="W72" s="8"/>
      <c r="X72" s="8"/>
      <c r="Y72" s="8" t="inlineStr">
        <is>
          <t xml:space="preserve"> 東京都大田区上池台３－２４－１４スターハイツ洗足池２　２０２</t>
        </is>
      </c>
    </row>
    <row r="73" customHeight="true" ht="33.05">
      <c r="A73" s="8" t="inlineStr">
        <is>
          <t>365027492760</t>
        </is>
      </c>
      <c r="B73" s="9" t="inlineStr">
        <is>
          <t>365027492760</t>
        </is>
      </c>
      <c r="C73" s="10" t="n">
        <v>46007.0</v>
      </c>
      <c r="D73" s="8" t="n">
        <v>18.0</v>
      </c>
      <c r="E73" s="8" t="n">
        <v>1.0</v>
      </c>
      <c r="F73" s="11" t="inlineStr">
        <is>
          <t>塩澤 秀幸</t>
        </is>
      </c>
      <c r="G73" s="8" t="n">
        <f>R73&amp;S73&amp;T73&amp;U73&amp;V73</f>
        <v>0.0</v>
      </c>
      <c r="H73" s="8" t="inlineStr">
        <is>
          <t>055-222-3235</t>
        </is>
      </c>
      <c r="I73" s="8" t="inlineStr">
        <is>
          <t>400-0042</t>
        </is>
      </c>
      <c r="J73" s="8" t="inlineStr">
        <is>
          <t>JETMILLIO楽天市場店</t>
        </is>
      </c>
      <c r="K73" s="8" t="n">
        <f>W73&amp;X73&amp;Y73</f>
        <v>0.0</v>
      </c>
      <c r="L73" s="8"/>
      <c r="M73" s="8" t="inlineStr">
        <is>
          <t xml:space="preserve"> 050-3181-9787</t>
        </is>
      </c>
      <c r="N73" s="16" t="inlineStr">
        <is>
          <t>148202040055</t>
        </is>
      </c>
      <c r="O73" s="8" t="inlineStr">
        <is>
          <t>Toy</t>
        </is>
      </c>
      <c r="P73" s="8"/>
      <c r="Q73" s="8" t="inlineStr">
        <is>
          <t>365027492760</t>
        </is>
      </c>
      <c r="R73" s="8" t="inlineStr">
        <is>
          <t>山梨県</t>
        </is>
      </c>
      <c r="S73" s="8" t="inlineStr">
        <is>
          <t>甲府市</t>
        </is>
      </c>
      <c r="T73" s="8" t="inlineStr">
        <is>
          <t>高畑1-17-13</t>
        </is>
      </c>
      <c r="U73" s="8"/>
      <c r="V73" s="8"/>
      <c r="W73" s="8"/>
      <c r="X73" s="8"/>
      <c r="Y73" s="8" t="inlineStr">
        <is>
          <t xml:space="preserve"> 東京都大田区上池台３－２４－１４スターハイツ洗足池２　２０２</t>
        </is>
      </c>
    </row>
    <row r="74" customHeight="true" ht="33.05">
      <c r="A74" s="8" t="inlineStr">
        <is>
          <t>365027493445</t>
        </is>
      </c>
      <c r="B74" s="9" t="inlineStr">
        <is>
          <t>365027493445</t>
        </is>
      </c>
      <c r="C74" s="10" t="n">
        <v>46008.0</v>
      </c>
      <c r="D74" s="8" t="n">
        <v>0.0</v>
      </c>
      <c r="E74" s="8" t="n">
        <v>1.0</v>
      </c>
      <c r="F74" s="11" t="inlineStr">
        <is>
          <t>池田 美月 [イケダ ミヅキ]</t>
        </is>
      </c>
      <c r="G74" s="8" t="n">
        <f>R74&amp;S74&amp;T74&amp;U74&amp;V74</f>
        <v>0.0</v>
      </c>
      <c r="H74" s="8" t="inlineStr">
        <is>
          <t>080-4470-1349</t>
        </is>
      </c>
      <c r="I74" s="8" t="inlineStr">
        <is>
          <t>061-1354</t>
        </is>
      </c>
      <c r="J74" s="8" t="inlineStr">
        <is>
          <t>楽天-sepco</t>
        </is>
      </c>
      <c r="K74" s="8" t="n">
        <f>W74&amp;X74&amp;Y74</f>
        <v>0.0</v>
      </c>
      <c r="L74" s="8"/>
      <c r="M74" s="8" t="inlineStr">
        <is>
          <t xml:space="preserve"> 070-5589-7493</t>
        </is>
      </c>
      <c r="N74" s="16" t="inlineStr">
        <is>
          <t>148202040055</t>
        </is>
      </c>
      <c r="O74" s="8" t="inlineStr">
        <is>
          <t>Skating shoes</t>
        </is>
      </c>
      <c r="P74" s="8"/>
      <c r="Q74" s="8" t="inlineStr">
        <is>
          <t>365027493445</t>
        </is>
      </c>
      <c r="R74" s="8" t="inlineStr">
        <is>
          <t>北海道</t>
        </is>
      </c>
      <c r="S74" s="8" t="inlineStr">
        <is>
          <t>恵庭市</t>
        </is>
      </c>
      <c r="T74" s="8" t="inlineStr">
        <is>
          <t>島松旭町2丁目5番20号</t>
        </is>
      </c>
      <c r="U74" s="8"/>
      <c r="V74" s="8"/>
      <c r="W74" s="8"/>
      <c r="X74" s="8"/>
      <c r="Y74" s="8" t="inlineStr">
        <is>
          <t xml:space="preserve"> 中区大手町1-1-26-305大手町一番ビル</t>
        </is>
      </c>
    </row>
    <row r="75" customHeight="true" ht="33.05">
      <c r="A75" s="8" t="inlineStr">
        <is>
          <t>365027468901</t>
        </is>
      </c>
      <c r="B75" s="9" t="inlineStr">
        <is>
          <t>365027468901</t>
        </is>
      </c>
      <c r="C75" s="10"/>
      <c r="D75" s="8" t="n">
        <v>0.0</v>
      </c>
      <c r="E75" s="8" t="n">
        <v>1.0</v>
      </c>
      <c r="F75" s="11" t="inlineStr">
        <is>
          <t>西村サカエ</t>
        </is>
      </c>
      <c r="G75" s="8" t="n">
        <f>R75&amp;S75&amp;T75&amp;U75&amp;V75</f>
        <v>0.0</v>
      </c>
      <c r="H75" s="8" t="inlineStr">
        <is>
          <t>08031027463</t>
        </is>
      </c>
      <c r="I75" s="8" t="inlineStr">
        <is>
          <t>520-3315</t>
        </is>
      </c>
      <c r="J75" s="8"/>
      <c r="K75" s="8" t="n">
        <f>W75&amp;X75&amp;Y75</f>
        <v>0.0</v>
      </c>
      <c r="L75" s="8"/>
      <c r="M75" s="8" t="inlineStr">
        <is>
          <t xml:space="preserve"> </t>
        </is>
      </c>
      <c r="N75" s="16" t="inlineStr">
        <is>
          <t>148202040055</t>
        </is>
      </c>
      <c r="O75" s="8" t="inlineStr">
        <is>
          <t>Optical level</t>
        </is>
      </c>
      <c r="P75" s="8"/>
      <c r="Q75" s="8" t="inlineStr">
        <is>
          <t>365027468901</t>
        </is>
      </c>
      <c r="R75" s="8"/>
      <c r="S75" s="8"/>
      <c r="T75" s="8" t="inlineStr">
        <is>
          <t>甲賀市甲南町塩野 306 滋賀県</t>
        </is>
      </c>
      <c r="U75" s="8"/>
      <c r="V75" s="8"/>
      <c r="W75" s="8"/>
      <c r="X75" s="8"/>
      <c r="Y75" s="8" t="inlineStr">
        <is>
          <t xml:space="preserve"> </t>
        </is>
      </c>
    </row>
    <row r="76" customHeight="true" ht="33.05">
      <c r="A76" s="8" t="inlineStr">
        <is>
          <t>365027468890</t>
        </is>
      </c>
      <c r="B76" s="9" t="inlineStr">
        <is>
          <t>365027468890</t>
        </is>
      </c>
      <c r="C76" s="10"/>
      <c r="D76" s="8" t="n">
        <v>0.0</v>
      </c>
      <c r="E76" s="8" t="n">
        <v>1.0</v>
      </c>
      <c r="F76" s="11" t="inlineStr">
        <is>
          <t>中尾　広志</t>
        </is>
      </c>
      <c r="G76" s="8" t="n">
        <f>R76&amp;S76&amp;T76&amp;U76&amp;V76</f>
        <v>0.0</v>
      </c>
      <c r="H76" s="8" t="inlineStr">
        <is>
          <t>09025121821</t>
        </is>
      </c>
      <c r="I76" s="8" t="inlineStr">
        <is>
          <t>859-3929</t>
        </is>
      </c>
      <c r="J76" s="8"/>
      <c r="K76" s="8" t="n">
        <f>W76&amp;X76&amp;Y76</f>
        <v>0.0</v>
      </c>
      <c r="L76" s="8"/>
      <c r="M76" s="8" t="inlineStr">
        <is>
          <t xml:space="preserve"> </t>
        </is>
      </c>
      <c r="N76" s="16" t="inlineStr">
        <is>
          <t>148202040055</t>
        </is>
      </c>
      <c r="O76" s="8" t="inlineStr">
        <is>
          <t>Optical level</t>
        </is>
      </c>
      <c r="P76" s="8"/>
      <c r="Q76" s="8" t="inlineStr">
        <is>
          <t>365027468890</t>
        </is>
      </c>
      <c r="R76" s="8"/>
      <c r="S76" s="8"/>
      <c r="T76" s="8" t="inlineStr">
        <is>
          <t>東彼杵郡東彼杵町里郷1178-2 長崎県</t>
        </is>
      </c>
      <c r="U76" s="8"/>
      <c r="V76" s="8"/>
      <c r="W76" s="8"/>
      <c r="X76" s="8"/>
      <c r="Y76" s="8" t="inlineStr">
        <is>
          <t xml:space="preserve"> </t>
        </is>
      </c>
    </row>
    <row r="77" customHeight="true" ht="33.05">
      <c r="A77" s="8" t="inlineStr">
        <is>
          <t>365027470614</t>
        </is>
      </c>
      <c r="B77" s="9" t="inlineStr">
        <is>
          <t>365027470614</t>
        </is>
      </c>
      <c r="C77" s="10"/>
      <c r="D77" s="8" t="n">
        <v>0.0</v>
      </c>
      <c r="E77" s="8" t="n">
        <v>1.0</v>
      </c>
      <c r="F77" s="11" t="inlineStr">
        <is>
          <t>五井</t>
        </is>
      </c>
      <c r="G77" s="8" t="n">
        <f>R77&amp;S77&amp;T77&amp;U77&amp;V77</f>
        <v>0.0</v>
      </c>
      <c r="H77" s="8" t="inlineStr">
        <is>
          <t>8097169507</t>
        </is>
      </c>
      <c r="I77" s="8" t="inlineStr">
        <is>
          <t>335-0021</t>
        </is>
      </c>
      <c r="J77" s="8"/>
      <c r="K77" s="8" t="n">
        <f>W77&amp;X77&amp;Y77</f>
        <v>0.0</v>
      </c>
      <c r="L77" s="8"/>
      <c r="M77" s="8" t="inlineStr">
        <is>
          <t xml:space="preserve"> </t>
        </is>
      </c>
      <c r="N77" s="16" t="inlineStr">
        <is>
          <t>148202040055</t>
        </is>
      </c>
      <c r="O77" s="8" t="inlineStr">
        <is>
          <t>plastic toys</t>
        </is>
      </c>
      <c r="P77" s="8"/>
      <c r="Q77" s="8" t="inlineStr">
        <is>
          <t>365027470614</t>
        </is>
      </c>
      <c r="R77" s="8"/>
      <c r="S77" s="8"/>
      <c r="T77" s="8" t="inlineStr">
        <is>
          <t>埼玉県戸田市新曽802-2 エクリューズ 204</t>
        </is>
      </c>
      <c r="U77" s="8"/>
      <c r="V77" s="8"/>
      <c r="W77" s="8"/>
      <c r="X77" s="8"/>
      <c r="Y77" s="8" t="inlineStr">
        <is>
          <t xml:space="preserve"> </t>
        </is>
      </c>
    </row>
    <row r="78" customHeight="true" ht="33.05">
      <c r="A78" s="8" t="inlineStr">
        <is>
          <t>365027493574</t>
        </is>
      </c>
      <c r="B78" s="9" t="inlineStr">
        <is>
          <t>365027493574</t>
        </is>
      </c>
      <c r="C78" s="10"/>
      <c r="D78" s="8" t="n">
        <v>0.0</v>
      </c>
      <c r="E78" s="8" t="n">
        <v>1.0</v>
      </c>
      <c r="F78" s="11" t="inlineStr">
        <is>
          <t>宮丘 輝一郎</t>
        </is>
      </c>
      <c r="G78" s="8" t="n">
        <f>R78&amp;S78&amp;T78&amp;U78&amp;V78</f>
        <v>0.0</v>
      </c>
      <c r="H78" s="8" t="inlineStr">
        <is>
          <t>090-7478-6910</t>
        </is>
      </c>
      <c r="I78" s="8" t="inlineStr">
        <is>
          <t>880-0926</t>
        </is>
      </c>
      <c r="J78" s="8" t="inlineStr">
        <is>
          <t/>
        </is>
      </c>
      <c r="K78" s="8" t="n">
        <f>W78&amp;X78&amp;Y78</f>
        <v>0.0</v>
      </c>
      <c r="L78" s="8"/>
      <c r="M78" s="8" t="inlineStr">
        <is>
          <t xml:space="preserve"> 08085450013</t>
        </is>
      </c>
      <c r="N78" s="16" t="inlineStr">
        <is>
          <t>148202040055</t>
        </is>
      </c>
      <c r="O78" s="8" t="inlineStr">
        <is>
          <t>toy</t>
        </is>
      </c>
      <c r="P78" s="8"/>
      <c r="Q78" s="8" t="inlineStr">
        <is>
          <t>365027493574</t>
        </is>
      </c>
      <c r="R78" s="8" t="inlineStr">
        <is>
          <t>宮崎県</t>
        </is>
      </c>
      <c r="S78" s="8" t="inlineStr">
        <is>
          <t>宮崎市</t>
        </is>
      </c>
      <c r="T78" s="8" t="inlineStr">
        <is>
          <t>月見ケ丘4-21-23</t>
        </is>
      </c>
      <c r="U78" s="8" t="inlineStr">
        <is>
          <t/>
        </is>
      </c>
      <c r="V78" s="8" t="inlineStr">
        <is>
          <t/>
        </is>
      </c>
      <c r="W78" s="8" t="inlineStr">
        <is>
          <t>大阪府</t>
        </is>
      </c>
      <c r="X78" s="8" t="inlineStr">
        <is>
          <t>堺市</t>
        </is>
      </c>
      <c r="Y78" s="8" t="inlineStr">
        <is>
          <t xml:space="preserve"> 中百舌鳥町6丁目１００１-5盲亀浮木の店</t>
        </is>
      </c>
    </row>
    <row r="79" customHeight="true" ht="33.05">
      <c r="A79" s="8" t="inlineStr">
        <is>
          <t>365027492664</t>
        </is>
      </c>
      <c r="B79" s="9" t="inlineStr">
        <is>
          <t>365027492664</t>
        </is>
      </c>
      <c r="C79" s="10"/>
      <c r="D79" s="8" t="n">
        <v>0.0</v>
      </c>
      <c r="E79" s="8" t="n">
        <v>1.0</v>
      </c>
      <c r="F79" s="11" t="inlineStr">
        <is>
          <t>西日本保険サービス 堀</t>
        </is>
      </c>
      <c r="G79" s="8" t="n">
        <f>R79&amp;S79&amp;T79&amp;U79&amp;V79</f>
        <v>0.0</v>
      </c>
      <c r="H79" s="8" t="inlineStr">
        <is>
          <t>090-9051-1206</t>
        </is>
      </c>
      <c r="I79" s="8" t="inlineStr">
        <is>
          <t>658-0064</t>
        </is>
      </c>
      <c r="J79" s="8" t="inlineStr">
        <is>
          <t>JETMILLIO楽天市場店</t>
        </is>
      </c>
      <c r="K79" s="8" t="n">
        <f>W79&amp;X79&amp;Y79</f>
        <v>0.0</v>
      </c>
      <c r="L79" s="8"/>
      <c r="M79" s="8" t="inlineStr">
        <is>
          <t xml:space="preserve"> 050-3181-9787</t>
        </is>
      </c>
      <c r="N79" s="16" t="inlineStr">
        <is>
          <t>148202040055</t>
        </is>
      </c>
      <c r="O79" s="8" t="inlineStr">
        <is>
          <t>Solar outdoor lamp,solar light</t>
        </is>
      </c>
      <c r="P79" s="8"/>
      <c r="Q79" s="8" t="inlineStr">
        <is>
          <t>365027492664</t>
        </is>
      </c>
      <c r="R79" s="8" t="inlineStr">
        <is>
          <t>兵庫県</t>
        </is>
      </c>
      <c r="S79" s="8" t="inlineStr">
        <is>
          <t>神戸市</t>
        </is>
      </c>
      <c r="T79" s="8" t="inlineStr">
        <is>
          <t>東灘区鴨子ヶ原3丁目7番25ー2号</t>
        </is>
      </c>
      <c r="U79" s="8"/>
      <c r="V79" s="8"/>
      <c r="W79" s="8"/>
      <c r="X79" s="8"/>
      <c r="Y79" s="8" t="inlineStr">
        <is>
          <t xml:space="preserve"> 東京都大田区上池台３－２４－１４スターハイツ洗足池２　２０２</t>
        </is>
      </c>
    </row>
    <row r="80" customHeight="true" ht="33.05">
      <c r="A80" s="8" t="inlineStr">
        <is>
          <t>365027469262</t>
        </is>
      </c>
      <c r="B80" s="9" t="inlineStr">
        <is>
          <t>365027469262</t>
        </is>
      </c>
      <c r="C80" s="10"/>
      <c r="D80" s="8" t="n">
        <v>0.0</v>
      </c>
      <c r="E80" s="8" t="n">
        <v>1.0</v>
      </c>
      <c r="F80" s="11" t="inlineStr">
        <is>
          <t>津田朋美</t>
        </is>
      </c>
      <c r="G80" s="8" t="n">
        <f>R80&amp;S80&amp;T80&amp;U80&amp;V80</f>
        <v>0.0</v>
      </c>
      <c r="H80" s="8" t="inlineStr">
        <is>
          <t>080-9749-7494</t>
        </is>
      </c>
      <c r="I80" s="8" t="inlineStr">
        <is>
          <t>577-0806</t>
        </is>
      </c>
      <c r="J80" s="8"/>
      <c r="K80" s="8" t="n">
        <f>W80&amp;X80&amp;Y80</f>
        <v>0.0</v>
      </c>
      <c r="L80" s="8"/>
      <c r="M80" s="8" t="inlineStr">
        <is>
          <t xml:space="preserve"> </t>
        </is>
      </c>
      <c r="N80" s="16" t="inlineStr">
        <is>
          <t>148202040055</t>
        </is>
      </c>
      <c r="O80" s="8" t="inlineStr">
        <is>
          <t>humidifier</t>
        </is>
      </c>
      <c r="P80" s="8"/>
      <c r="Q80" s="8" t="inlineStr">
        <is>
          <t>365027469262</t>
        </is>
      </c>
      <c r="R80" s="8"/>
      <c r="S80" s="8"/>
      <c r="T80" s="8" t="inlineStr">
        <is>
          <t>大阪府東大阪市上小阪2-8-12</t>
        </is>
      </c>
      <c r="U80" s="8"/>
      <c r="V80" s="8"/>
      <c r="W80" s="8"/>
      <c r="X80" s="8"/>
      <c r="Y80" s="8" t="inlineStr">
        <is>
          <t xml:space="preserve"> </t>
        </is>
      </c>
    </row>
    <row r="81" customHeight="true" ht="33.05">
      <c r="A81" s="8" t="inlineStr">
        <is>
          <t>365027493810</t>
        </is>
      </c>
      <c r="B81" s="9" t="inlineStr">
        <is>
          <t>365027493810</t>
        </is>
      </c>
      <c r="C81" s="10" t="n">
        <v>46008.0</v>
      </c>
      <c r="D81" s="8" t="n">
        <v>1.0</v>
      </c>
      <c r="E81" s="8" t="n">
        <v>1.0</v>
      </c>
      <c r="F81" s="11" t="inlineStr">
        <is>
          <t>小川 香織 [オガワ カオリ]</t>
        </is>
      </c>
      <c r="G81" s="8" t="n">
        <f>R81&amp;S81&amp;T81&amp;U81&amp;V81</f>
        <v>0.0</v>
      </c>
      <c r="H81" s="8" t="inlineStr">
        <is>
          <t>011-556-5838</t>
        </is>
      </c>
      <c r="I81" s="8" t="inlineStr">
        <is>
          <t>004-0003</t>
        </is>
      </c>
      <c r="J81" s="8" t="inlineStr">
        <is>
          <t>楽天-eightyone-H</t>
        </is>
      </c>
      <c r="K81" s="8" t="n">
        <f>W81&amp;X81&amp;Y81</f>
        <v>0.0</v>
      </c>
      <c r="L81" s="8"/>
      <c r="M81" s="8" t="inlineStr">
        <is>
          <t xml:space="preserve"> 036-161-6083</t>
        </is>
      </c>
      <c r="N81" s="16" t="inlineStr">
        <is>
          <t>148202040055</t>
        </is>
      </c>
      <c r="O81" s="8" t="inlineStr">
        <is>
          <t>Night light</t>
        </is>
      </c>
      <c r="P81" s="8"/>
      <c r="Q81" s="8" t="inlineStr">
        <is>
          <t>365027493810</t>
        </is>
      </c>
      <c r="R81" s="8" t="inlineStr">
        <is>
          <t>北海道</t>
        </is>
      </c>
      <c r="S81" s="8" t="inlineStr">
        <is>
          <t>札幌市厚別区</t>
        </is>
      </c>
      <c r="T81" s="8" t="inlineStr">
        <is>
          <t>厚別東三条3丁目9-30</t>
        </is>
      </c>
      <c r="U81" s="8"/>
      <c r="V81" s="8"/>
      <c r="W81" s="8"/>
      <c r="X81" s="8"/>
      <c r="Y81" s="8" t="inlineStr">
        <is>
          <t xml:space="preserve"> 東京都品川区平塚1-13-1</t>
        </is>
      </c>
    </row>
    <row r="82" customHeight="true" ht="33.05">
      <c r="A82" s="8" t="inlineStr">
        <is>
          <t>365027493025</t>
        </is>
      </c>
      <c r="B82" s="9" t="inlineStr">
        <is>
          <t>365027493025</t>
        </is>
      </c>
      <c r="C82" s="10" t="n">
        <v>46009.0</v>
      </c>
      <c r="D82" s="8" t="n">
        <v>4.0</v>
      </c>
      <c r="E82" s="8" t="n">
        <v>1.0</v>
      </c>
      <c r="F82" s="11" t="inlineStr">
        <is>
          <t>岩井 綾 [イワイ アヤ]</t>
        </is>
      </c>
      <c r="G82" s="8" t="n">
        <f>R82&amp;S82&amp;T82&amp;U82&amp;V82</f>
        <v>0.0</v>
      </c>
      <c r="H82" s="8" t="inlineStr">
        <is>
          <t>080-5379-3586</t>
        </is>
      </c>
      <c r="I82" s="8" t="inlineStr">
        <is>
          <t>331-0045</t>
        </is>
      </c>
      <c r="J82" s="8" t="inlineStr">
        <is>
          <t>楽天-OBSESSION-L</t>
        </is>
      </c>
      <c r="K82" s="8" t="n">
        <f>W82&amp;X82&amp;Y82</f>
        <v>0.0</v>
      </c>
      <c r="L82" s="8"/>
      <c r="M82" s="8" t="inlineStr">
        <is>
          <t xml:space="preserve"> 05036359867</t>
        </is>
      </c>
      <c r="N82" s="16" t="inlineStr">
        <is>
          <t>148202040055</t>
        </is>
      </c>
      <c r="O82" s="8" t="inlineStr">
        <is>
          <t>Fan</t>
        </is>
      </c>
      <c r="P82" s="8"/>
      <c r="Q82" s="8" t="inlineStr">
        <is>
          <t>365027493025</t>
        </is>
      </c>
      <c r="R82" s="8" t="inlineStr">
        <is>
          <t>埼玉県</t>
        </is>
      </c>
      <c r="S82" s="8" t="inlineStr">
        <is>
          <t>さいたま市西区</t>
        </is>
      </c>
      <c r="T82" s="8" t="inlineStr">
        <is>
          <t>内野本郷303-13</t>
        </is>
      </c>
      <c r="U82" s="8"/>
      <c r="V82" s="8"/>
      <c r="W82" s="8"/>
      <c r="X82" s="8"/>
      <c r="Y82" s="8" t="inlineStr">
        <is>
          <t xml:space="preserve"> 西成区北津守４－１３－４３</t>
        </is>
      </c>
    </row>
    <row r="83" customHeight="true" ht="33.05">
      <c r="A83" s="8" t="inlineStr">
        <is>
          <t>365027469251</t>
        </is>
      </c>
      <c r="B83" s="9" t="inlineStr">
        <is>
          <t>365027469251</t>
        </is>
      </c>
      <c r="C83" s="10"/>
      <c r="D83" s="8" t="n">
        <v>0.0</v>
      </c>
      <c r="E83" s="8" t="n">
        <v>1.0</v>
      </c>
      <c r="F83" s="11" t="inlineStr">
        <is>
          <t>大杉真奈美</t>
        </is>
      </c>
      <c r="G83" s="8" t="n">
        <f>R83&amp;S83&amp;T83&amp;U83&amp;V83</f>
        <v>0.0</v>
      </c>
      <c r="H83" s="8" t="inlineStr">
        <is>
          <t>090-3176-7042</t>
        </is>
      </c>
      <c r="I83" s="8" t="inlineStr">
        <is>
          <t>707-0412</t>
        </is>
      </c>
      <c r="J83" s="8"/>
      <c r="K83" s="8" t="n">
        <f>W83&amp;X83&amp;Y83</f>
        <v>0.0</v>
      </c>
      <c r="L83" s="8"/>
      <c r="M83" s="8" t="inlineStr">
        <is>
          <t xml:space="preserve"> </t>
        </is>
      </c>
      <c r="N83" s="16" t="inlineStr">
        <is>
          <t>148202040055</t>
        </is>
      </c>
      <c r="O83" s="8" t="inlineStr">
        <is>
          <t>heater</t>
        </is>
      </c>
      <c r="P83" s="8"/>
      <c r="Q83" s="8" t="inlineStr">
        <is>
          <t>365027469251</t>
        </is>
      </c>
      <c r="R83" s="8"/>
      <c r="S83" s="8"/>
      <c r="T83" s="8" t="inlineStr">
        <is>
          <t>岡山県美作市古町1902-1</t>
        </is>
      </c>
      <c r="U83" s="8"/>
      <c r="V83" s="8"/>
      <c r="W83" s="8"/>
      <c r="X83" s="8"/>
      <c r="Y83" s="8" t="inlineStr">
        <is>
          <t xml:space="preserve"> </t>
        </is>
      </c>
    </row>
    <row r="84" customHeight="true" ht="33.05">
      <c r="A84" s="8" t="inlineStr">
        <is>
          <t>365027469903</t>
        </is>
      </c>
      <c r="B84" s="9" t="inlineStr">
        <is>
          <t>365027469903</t>
        </is>
      </c>
      <c r="C84" s="10"/>
      <c r="D84" s="8" t="n">
        <v>0.0</v>
      </c>
      <c r="E84" s="8" t="n">
        <v>1.0</v>
      </c>
      <c r="F84" s="11" t="inlineStr">
        <is>
          <t>安达翔</t>
        </is>
      </c>
      <c r="G84" s="8" t="n">
        <f>R84&amp;S84&amp;T84&amp;U84&amp;V84</f>
        <v>0.0</v>
      </c>
      <c r="H84" s="8" t="inlineStr">
        <is>
          <t>08059682833</t>
        </is>
      </c>
      <c r="I84" s="8" t="inlineStr">
        <is>
          <t>350-1317</t>
        </is>
      </c>
      <c r="J84" s="8"/>
      <c r="K84" s="8" t="n">
        <f>W84&amp;X84&amp;Y84</f>
        <v>0.0</v>
      </c>
      <c r="L84" s="8"/>
      <c r="M84" s="8" t="inlineStr">
        <is>
          <t xml:space="preserve"> </t>
        </is>
      </c>
      <c r="N84" s="16" t="inlineStr">
        <is>
          <t>148202040055</t>
        </is>
      </c>
      <c r="O84" s="8" t="inlineStr">
        <is>
          <t>plastic toys</t>
        </is>
      </c>
      <c r="P84" s="8"/>
      <c r="Q84" s="8" t="inlineStr">
        <is>
          <t>365027469903</t>
        </is>
      </c>
      <c r="R84" s="8"/>
      <c r="S84" s="8"/>
      <c r="T84" s="8" t="inlineStr">
        <is>
          <t>埼玉県狭山市大字水野５０７－１</t>
        </is>
      </c>
      <c r="U84" s="8"/>
      <c r="V84" s="8"/>
      <c r="W84" s="8"/>
      <c r="X84" s="8"/>
      <c r="Y84" s="8" t="inlineStr">
        <is>
          <t xml:space="preserve"> </t>
        </is>
      </c>
    </row>
    <row r="85" customHeight="true" ht="33.05">
      <c r="A85" s="8" t="inlineStr">
        <is>
          <t>365027469295</t>
        </is>
      </c>
      <c r="B85" s="9" t="inlineStr">
        <is>
          <t>365027469295</t>
        </is>
      </c>
      <c r="C85" s="10"/>
      <c r="D85" s="8" t="n">
        <v>0.0</v>
      </c>
      <c r="E85" s="8" t="n">
        <v>1.0</v>
      </c>
      <c r="F85" s="11" t="inlineStr">
        <is>
          <t>鉄山高</t>
        </is>
      </c>
      <c r="G85" s="8" t="n">
        <f>R85&amp;S85&amp;T85&amp;U85&amp;V85</f>
        <v>0.0</v>
      </c>
      <c r="H85" s="8" t="inlineStr">
        <is>
          <t>080-5608-1968</t>
        </is>
      </c>
      <c r="I85" s="8" t="inlineStr">
        <is>
          <t>879-3104</t>
        </is>
      </c>
      <c r="J85" s="8"/>
      <c r="K85" s="8" t="n">
        <f>W85&amp;X85&amp;Y85</f>
        <v>0.0</v>
      </c>
      <c r="L85" s="8"/>
      <c r="M85" s="8" t="inlineStr">
        <is>
          <t xml:space="preserve"> </t>
        </is>
      </c>
      <c r="N85" s="16" t="inlineStr">
        <is>
          <t>148202040055</t>
        </is>
      </c>
      <c r="O85" s="8" t="inlineStr">
        <is>
          <t>dashcam</t>
        </is>
      </c>
      <c r="P85" s="8"/>
      <c r="Q85" s="8" t="inlineStr">
        <is>
          <t>365027469295</t>
        </is>
      </c>
      <c r="R85" s="8"/>
      <c r="S85" s="8"/>
      <c r="T85" s="8" t="inlineStr">
        <is>
          <t>大分県佐伯市直川仁田原７９８番地-1</t>
        </is>
      </c>
      <c r="U85" s="8"/>
      <c r="V85" s="8"/>
      <c r="W85" s="8"/>
      <c r="X85" s="8"/>
      <c r="Y85" s="8" t="inlineStr">
        <is>
          <t xml:space="preserve"> </t>
        </is>
      </c>
    </row>
    <row r="86" customHeight="true" ht="33.05">
      <c r="A86" s="8" t="inlineStr">
        <is>
          <t>365027470625</t>
        </is>
      </c>
      <c r="B86" s="9" t="inlineStr">
        <is>
          <t>365027470625</t>
        </is>
      </c>
      <c r="C86" s="10"/>
      <c r="D86" s="8" t="n">
        <v>0.0</v>
      </c>
      <c r="E86" s="8" t="n">
        <v>1.0</v>
      </c>
      <c r="F86" s="11" t="inlineStr">
        <is>
          <t>FUKUNAGA KATSUSHIKA</t>
        </is>
      </c>
      <c r="G86" s="8" t="n">
        <f>R86&amp;S86&amp;T86&amp;U86&amp;V86</f>
        <v>0.0</v>
      </c>
      <c r="H86" s="8" t="inlineStr">
        <is>
          <t>03-3877-5550</t>
        </is>
      </c>
      <c r="I86" s="8" t="inlineStr">
        <is>
          <t>134-0092</t>
        </is>
      </c>
      <c r="J86" s="8"/>
      <c r="K86" s="8" t="n">
        <f>W86&amp;X86&amp;Y86</f>
        <v>0.0</v>
      </c>
      <c r="L86" s="8"/>
      <c r="M86" s="8" t="inlineStr">
        <is>
          <t xml:space="preserve"> </t>
        </is>
      </c>
      <c r="N86" s="16" t="inlineStr">
        <is>
          <t>148202040055</t>
        </is>
      </c>
      <c r="O86" s="8" t="inlineStr">
        <is>
          <t>Humidifier</t>
        </is>
      </c>
      <c r="P86" s="8"/>
      <c r="Q86" s="8" t="inlineStr">
        <is>
          <t>365027470625</t>
        </is>
      </c>
      <c r="R86" s="8"/>
      <c r="S86" s="8"/>
      <c r="T86" s="8" t="inlineStr">
        <is>
          <t>NO.3000 ICHINOECHO EDOGAWA-KU TOKYO</t>
        </is>
      </c>
      <c r="U86" s="8"/>
      <c r="V86" s="8"/>
      <c r="W86" s="8"/>
      <c r="X86" s="8"/>
      <c r="Y86" s="8" t="inlineStr">
        <is>
          <t xml:space="preserve"> </t>
        </is>
      </c>
    </row>
    <row r="87" customHeight="true" ht="33.05">
      <c r="A87" s="8" t="inlineStr">
        <is>
          <t>365027492922</t>
        </is>
      </c>
      <c r="B87" s="9" t="inlineStr">
        <is>
          <t>365027492922</t>
        </is>
      </c>
      <c r="C87" s="10"/>
      <c r="D87" s="8" t="n">
        <v>0.0</v>
      </c>
      <c r="E87" s="8" t="n">
        <v>1.0</v>
      </c>
      <c r="F87" s="11" t="inlineStr">
        <is>
          <t>樽井 大輔</t>
        </is>
      </c>
      <c r="G87" s="8" t="n">
        <f>R87&amp;S87&amp;T87&amp;U87&amp;V87</f>
        <v>0.0</v>
      </c>
      <c r="H87" s="8" t="inlineStr">
        <is>
          <t>080-3767-2140</t>
        </is>
      </c>
      <c r="I87" s="8" t="inlineStr">
        <is>
          <t>676-0011</t>
        </is>
      </c>
      <c r="J87" s="8" t="inlineStr">
        <is>
          <t>ラッキーストライク</t>
        </is>
      </c>
      <c r="K87" s="8" t="n">
        <f>W87&amp;X87&amp;Y87</f>
        <v>0.0</v>
      </c>
      <c r="L87" s="8"/>
      <c r="M87" s="8" t="inlineStr">
        <is>
          <t xml:space="preserve"> 05030911547</t>
        </is>
      </c>
      <c r="N87" s="16" t="inlineStr">
        <is>
          <t>148202040055</t>
        </is>
      </c>
      <c r="O87" s="8" t="inlineStr">
        <is>
          <t>ashtray</t>
        </is>
      </c>
      <c r="P87" s="8"/>
      <c r="Q87" s="8" t="inlineStr">
        <is>
          <t>365027492922</t>
        </is>
      </c>
      <c r="R87" s="8" t="inlineStr">
        <is>
          <t>兵庫県</t>
        </is>
      </c>
      <c r="S87" s="8" t="inlineStr">
        <is>
          <t>高砂市</t>
        </is>
      </c>
      <c r="T87" s="8" t="inlineStr">
        <is>
          <t>荒井町小松原3丁目1ー3ー202 オリエンタルマンションI</t>
        </is>
      </c>
      <c r="U87" s="8"/>
      <c r="V87" s="8"/>
      <c r="W87" s="8"/>
      <c r="X87" s="8"/>
      <c r="Y87" s="8" t="inlineStr">
        <is>
          <t xml:space="preserve"> 東京都西多摩郡奥多摩町留浦１０１８</t>
        </is>
      </c>
    </row>
    <row r="88" customHeight="true" ht="33.05">
      <c r="A88" s="8" t="inlineStr">
        <is>
          <t>365027493353</t>
        </is>
      </c>
      <c r="B88" s="9" t="inlineStr">
        <is>
          <t>365027493353</t>
        </is>
      </c>
      <c r="C88" s="10" t="n">
        <v>46010.0</v>
      </c>
      <c r="D88" s="8" t="n">
        <v>1.0</v>
      </c>
      <c r="E88" s="8" t="n">
        <v>1.0</v>
      </c>
      <c r="F88" s="11" t="inlineStr">
        <is>
          <t>向井 公幸</t>
        </is>
      </c>
      <c r="G88" s="8" t="n">
        <f>R88&amp;S88&amp;T88&amp;U88&amp;V88</f>
        <v>0.0</v>
      </c>
      <c r="H88" s="8" t="inlineStr">
        <is>
          <t>090-8663-5992</t>
        </is>
      </c>
      <c r="I88" s="8" t="inlineStr">
        <is>
          <t>879-5102</t>
        </is>
      </c>
      <c r="J88" s="8" t="inlineStr">
        <is>
          <t>5 star trust</t>
        </is>
      </c>
      <c r="K88" s="8" t="n">
        <f>W88&amp;X88&amp;Y88</f>
        <v>0.0</v>
      </c>
      <c r="L88" s="8"/>
      <c r="M88" s="8" t="inlineStr">
        <is>
          <t xml:space="preserve"> 0672209304</t>
        </is>
      </c>
      <c r="N88" s="16" t="inlineStr">
        <is>
          <t>148202040055</t>
        </is>
      </c>
      <c r="O88" s="8" t="inlineStr">
        <is>
          <t>Children's educational toys</t>
        </is>
      </c>
      <c r="P88" s="8"/>
      <c r="Q88" s="8" t="inlineStr">
        <is>
          <t>365027493353</t>
        </is>
      </c>
      <c r="R88" s="8" t="inlineStr">
        <is>
          <t>大分県</t>
        </is>
      </c>
      <c r="S88" s="8" t="inlineStr">
        <is>
          <t>由布市</t>
        </is>
      </c>
      <c r="T88" s="8" t="inlineStr">
        <is>
          <t>湯布院町川上331-10</t>
        </is>
      </c>
      <c r="U88" s="8"/>
      <c r="V88" s="8"/>
      <c r="W88" s="8"/>
      <c r="X88" s="8"/>
      <c r="Y88" s="8" t="inlineStr">
        <is>
          <t xml:space="preserve"> 大阪府富田林市平町１－４１０３－１</t>
        </is>
      </c>
    </row>
    <row r="89" customHeight="true" ht="33.05">
      <c r="A89" s="8" t="inlineStr">
        <is>
          <t>365027493692</t>
        </is>
      </c>
      <c r="B89" s="9" t="inlineStr">
        <is>
          <t>365027493692</t>
        </is>
      </c>
      <c r="C89" s="10" t="n">
        <v>46007.0</v>
      </c>
      <c r="D89" s="8" t="n">
        <v>4.0</v>
      </c>
      <c r="E89" s="8" t="n">
        <v>1.0</v>
      </c>
      <c r="F89" s="11" t="inlineStr">
        <is>
          <t>米山 智子 [ヨネヤマ トモコ]</t>
        </is>
      </c>
      <c r="G89" s="8" t="n">
        <f>R89&amp;S89&amp;T89&amp;U89&amp;V89</f>
        <v>0.0</v>
      </c>
      <c r="H89" s="8" t="inlineStr">
        <is>
          <t>090-1611-6989</t>
        </is>
      </c>
      <c r="I89" s="8" t="inlineStr">
        <is>
          <t>380-0941</t>
        </is>
      </c>
      <c r="J89" s="8" t="inlineStr">
        <is>
          <t>楽天-OBSESSION-L</t>
        </is>
      </c>
      <c r="K89" s="8" t="n">
        <f>W89&amp;X89&amp;Y89</f>
        <v>0.0</v>
      </c>
      <c r="L89" s="8"/>
      <c r="M89" s="8" t="inlineStr">
        <is>
          <t xml:space="preserve"> 05036359867</t>
        </is>
      </c>
      <c r="N89" s="16" t="inlineStr">
        <is>
          <t>148202040055</t>
        </is>
      </c>
      <c r="O89" s="8" t="inlineStr">
        <is>
          <t>Fan</t>
        </is>
      </c>
      <c r="P89" s="8"/>
      <c r="Q89" s="8" t="inlineStr">
        <is>
          <t>365027493692</t>
        </is>
      </c>
      <c r="R89" s="8" t="inlineStr">
        <is>
          <t>長野県</t>
        </is>
      </c>
      <c r="S89" s="8" t="inlineStr">
        <is>
          <t>長野市</t>
        </is>
      </c>
      <c r="T89" s="8" t="inlineStr">
        <is>
          <t>安茂里1728-2</t>
        </is>
      </c>
      <c r="U89" s="8"/>
      <c r="V89" s="8"/>
      <c r="W89" s="8"/>
      <c r="X89" s="8"/>
      <c r="Y89" s="8" t="inlineStr">
        <is>
          <t xml:space="preserve"> 西成区北津守４－１３－４３</t>
        </is>
      </c>
    </row>
    <row r="90" customHeight="true" ht="33.05">
      <c r="A90" s="8" t="inlineStr">
        <is>
          <t>365027493036</t>
        </is>
      </c>
      <c r="B90" s="9" t="inlineStr">
        <is>
          <t>365027493036</t>
        </is>
      </c>
      <c r="C90" s="10"/>
      <c r="D90" s="8" t="n">
        <v>0.0</v>
      </c>
      <c r="E90" s="8" t="n">
        <v>1.0</v>
      </c>
      <c r="F90" s="11" t="inlineStr">
        <is>
          <t>山田 美代子 [ヤマダ ミヨコ]</t>
        </is>
      </c>
      <c r="G90" s="8" t="n">
        <f>R90&amp;S90&amp;T90&amp;U90&amp;V90</f>
        <v>0.0</v>
      </c>
      <c r="H90" s="8" t="inlineStr">
        <is>
          <t>090-9737-8286</t>
        </is>
      </c>
      <c r="I90" s="8" t="inlineStr">
        <is>
          <t>753-0851</t>
        </is>
      </c>
      <c r="J90" s="8" t="inlineStr">
        <is>
          <t>楽天-OBSESSION-L</t>
        </is>
      </c>
      <c r="K90" s="8" t="n">
        <f>W90&amp;X90&amp;Y90</f>
        <v>0.0</v>
      </c>
      <c r="L90" s="8"/>
      <c r="M90" s="8" t="inlineStr">
        <is>
          <t xml:space="preserve"> 05036359867</t>
        </is>
      </c>
      <c r="N90" s="16" t="inlineStr">
        <is>
          <t>148202040055</t>
        </is>
      </c>
      <c r="O90" s="8" t="inlineStr">
        <is>
          <t>Fan</t>
        </is>
      </c>
      <c r="P90" s="8"/>
      <c r="Q90" s="8" t="inlineStr">
        <is>
          <t>365027493036</t>
        </is>
      </c>
      <c r="R90" s="8" t="inlineStr">
        <is>
          <t>山口県</t>
        </is>
      </c>
      <c r="S90" s="8" t="inlineStr">
        <is>
          <t>山口市</t>
        </is>
      </c>
      <c r="T90" s="8" t="inlineStr">
        <is>
          <t>黒川642-15</t>
        </is>
      </c>
      <c r="U90" s="8"/>
      <c r="V90" s="8"/>
      <c r="W90" s="8"/>
      <c r="X90" s="8"/>
      <c r="Y90" s="8" t="inlineStr">
        <is>
          <t xml:space="preserve"> 西成区北津守４－１３－４３</t>
        </is>
      </c>
    </row>
    <row r="91" customHeight="true" ht="33.05">
      <c r="A91" s="8" t="inlineStr">
        <is>
          <t>365027493762</t>
        </is>
      </c>
      <c r="B91" s="9" t="inlineStr">
        <is>
          <t>365027493762</t>
        </is>
      </c>
      <c r="C91" s="10"/>
      <c r="D91" s="8" t="n">
        <v>0.0</v>
      </c>
      <c r="E91" s="8" t="n">
        <v>1.0</v>
      </c>
      <c r="F91" s="11" t="inlineStr">
        <is>
          <t>片山 健丸 [カタヤマ タケマル]</t>
        </is>
      </c>
      <c r="G91" s="8" t="n">
        <f>R91&amp;S91&amp;T91&amp;U91&amp;V91</f>
        <v>0.0</v>
      </c>
      <c r="H91" s="8" t="inlineStr">
        <is>
          <t>080-3478-2293</t>
        </is>
      </c>
      <c r="I91" s="8" t="inlineStr">
        <is>
          <t>240-0023</t>
        </is>
      </c>
      <c r="J91" s="8" t="inlineStr">
        <is>
          <t>楽天-OBSESSION-L</t>
        </is>
      </c>
      <c r="K91" s="8" t="n">
        <f>W91&amp;X91&amp;Y91</f>
        <v>0.0</v>
      </c>
      <c r="L91" s="8"/>
      <c r="M91" s="8" t="inlineStr">
        <is>
          <t xml:space="preserve"> 05036359867</t>
        </is>
      </c>
      <c r="N91" s="16" t="inlineStr">
        <is>
          <t>148202040055</t>
        </is>
      </c>
      <c r="O91" s="8" t="inlineStr">
        <is>
          <t>Toy</t>
        </is>
      </c>
      <c r="P91" s="8"/>
      <c r="Q91" s="8" t="inlineStr">
        <is>
          <t>365027493762</t>
        </is>
      </c>
      <c r="R91" s="8" t="inlineStr">
        <is>
          <t>神奈川県</t>
        </is>
      </c>
      <c r="S91" s="8" t="inlineStr">
        <is>
          <t>横浜市保土ケ谷区</t>
        </is>
      </c>
      <c r="T91" s="8" t="inlineStr">
        <is>
          <t>岩井町222 保土ヶ谷フラット3号棟317号</t>
        </is>
      </c>
      <c r="U91" s="8"/>
      <c r="V91" s="8"/>
      <c r="W91" s="8"/>
      <c r="X91" s="8"/>
      <c r="Y91" s="8" t="inlineStr">
        <is>
          <t xml:space="preserve"> 西成区北津守４－１３－４３</t>
        </is>
      </c>
    </row>
    <row r="92" customHeight="true" ht="33.05">
      <c r="A92" s="8" t="inlineStr">
        <is>
          <t>365027470603</t>
        </is>
      </c>
      <c r="B92" s="9" t="inlineStr">
        <is>
          <t>365027470603</t>
        </is>
      </c>
      <c r="C92" s="10"/>
      <c r="D92" s="8" t="n">
        <v>0.0</v>
      </c>
      <c r="E92" s="8" t="n">
        <v>1.0</v>
      </c>
      <c r="F92" s="11" t="inlineStr">
        <is>
          <t>五井</t>
        </is>
      </c>
      <c r="G92" s="8" t="n">
        <f>R92&amp;S92&amp;T92&amp;U92&amp;V92</f>
        <v>0.0</v>
      </c>
      <c r="H92" s="8" t="inlineStr">
        <is>
          <t>8097169507</t>
        </is>
      </c>
      <c r="I92" s="8" t="inlineStr">
        <is>
          <t>335-0021</t>
        </is>
      </c>
      <c r="J92" s="8"/>
      <c r="K92" s="8" t="n">
        <f>W92&amp;X92&amp;Y92</f>
        <v>0.0</v>
      </c>
      <c r="L92" s="8"/>
      <c r="M92" s="8" t="inlineStr">
        <is>
          <t xml:space="preserve"> </t>
        </is>
      </c>
      <c r="N92" s="16" t="inlineStr">
        <is>
          <t>148202040055</t>
        </is>
      </c>
      <c r="O92" s="8" t="inlineStr">
        <is>
          <t>plastic toys</t>
        </is>
      </c>
      <c r="P92" s="8"/>
      <c r="Q92" s="8" t="inlineStr">
        <is>
          <t>365027470603</t>
        </is>
      </c>
      <c r="R92" s="8"/>
      <c r="S92" s="8"/>
      <c r="T92" s="8" t="inlineStr">
        <is>
          <t>埼玉県戸田市新曽802-2 エクリューズ 204</t>
        </is>
      </c>
      <c r="U92" s="8"/>
      <c r="V92" s="8"/>
      <c r="W92" s="8"/>
      <c r="X92" s="8"/>
      <c r="Y92" s="8" t="inlineStr">
        <is>
          <t xml:space="preserve"> </t>
        </is>
      </c>
    </row>
    <row r="93" customHeight="true" ht="33.05">
      <c r="A93" s="8" t="inlineStr">
        <is>
          <t>365027493390</t>
        </is>
      </c>
      <c r="B93" s="9" t="inlineStr">
        <is>
          <t>365027493390</t>
        </is>
      </c>
      <c r="C93" s="10"/>
      <c r="D93" s="8" t="n">
        <v>0.0</v>
      </c>
      <c r="E93" s="8" t="n">
        <v>1.0</v>
      </c>
      <c r="F93" s="11" t="inlineStr">
        <is>
          <t>加我 しおり [カガ シオリ]</t>
        </is>
      </c>
      <c r="G93" s="8" t="n">
        <f>R93&amp;S93&amp;T93&amp;U93&amp;V93</f>
        <v>0.0</v>
      </c>
      <c r="H93" s="8" t="inlineStr">
        <is>
          <t>090-5071-6421</t>
        </is>
      </c>
      <c r="I93" s="8" t="inlineStr">
        <is>
          <t>059-0907</t>
        </is>
      </c>
      <c r="J93" s="8" t="inlineStr">
        <is>
          <t>楽天-eightyone-H</t>
        </is>
      </c>
      <c r="K93" s="8" t="n">
        <f>W93&amp;X93&amp;Y93</f>
        <v>0.0</v>
      </c>
      <c r="L93" s="8"/>
      <c r="M93" s="8" t="inlineStr">
        <is>
          <t xml:space="preserve"> 036-161-6083</t>
        </is>
      </c>
      <c r="N93" s="16" t="inlineStr">
        <is>
          <t>148202040055</t>
        </is>
      </c>
      <c r="O93" s="8" t="inlineStr">
        <is>
          <t>Toy car</t>
        </is>
      </c>
      <c r="P93" s="8"/>
      <c r="Q93" s="8" t="inlineStr">
        <is>
          <t>365027493390</t>
        </is>
      </c>
      <c r="R93" s="8" t="inlineStr">
        <is>
          <t>北海道</t>
        </is>
      </c>
      <c r="S93" s="8" t="inlineStr">
        <is>
          <t>白老郡白老町</t>
        </is>
      </c>
      <c r="T93" s="8" t="inlineStr">
        <is>
          <t>末広町4丁目10-7</t>
        </is>
      </c>
      <c r="U93" s="8"/>
      <c r="V93" s="8"/>
      <c r="W93" s="8"/>
      <c r="X93" s="8"/>
      <c r="Y93" s="8" t="inlineStr">
        <is>
          <t xml:space="preserve"> 東京都品川区平塚1-13-1</t>
        </is>
      </c>
    </row>
    <row r="94" customHeight="true" ht="33.05">
      <c r="A94" s="8" t="inlineStr">
        <is>
          <t>365027469936</t>
        </is>
      </c>
      <c r="B94" s="9" t="inlineStr">
        <is>
          <t>365027469936</t>
        </is>
      </c>
      <c r="C94" s="10"/>
      <c r="D94" s="8" t="n">
        <v>0.0</v>
      </c>
      <c r="E94" s="8" t="n">
        <v>1.0</v>
      </c>
      <c r="F94" s="11" t="inlineStr">
        <is>
          <t>安达翔</t>
        </is>
      </c>
      <c r="G94" s="8" t="n">
        <f>R94&amp;S94&amp;T94&amp;U94&amp;V94</f>
        <v>0.0</v>
      </c>
      <c r="H94" s="8" t="inlineStr">
        <is>
          <t>08059682833</t>
        </is>
      </c>
      <c r="I94" s="8" t="inlineStr">
        <is>
          <t>350-1317</t>
        </is>
      </c>
      <c r="J94" s="8"/>
      <c r="K94" s="8" t="n">
        <f>W94&amp;X94&amp;Y94</f>
        <v>0.0</v>
      </c>
      <c r="L94" s="8"/>
      <c r="M94" s="8" t="inlineStr">
        <is>
          <t xml:space="preserve"> </t>
        </is>
      </c>
      <c r="N94" s="16" t="inlineStr">
        <is>
          <t>148202040055</t>
        </is>
      </c>
      <c r="O94" s="8" t="inlineStr">
        <is>
          <t>plastic toys</t>
        </is>
      </c>
      <c r="P94" s="8"/>
      <c r="Q94" s="8" t="inlineStr">
        <is>
          <t>365027469936</t>
        </is>
      </c>
      <c r="R94" s="8"/>
      <c r="S94" s="8"/>
      <c r="T94" s="8" t="inlineStr">
        <is>
          <t>埼玉県狭山市大字水野５０７－１</t>
        </is>
      </c>
      <c r="U94" s="8"/>
      <c r="V94" s="8"/>
      <c r="W94" s="8"/>
      <c r="X94" s="8"/>
      <c r="Y94" s="8" t="inlineStr">
        <is>
          <t xml:space="preserve"> </t>
        </is>
      </c>
    </row>
    <row r="95" customHeight="true" ht="33.05">
      <c r="A95" s="8" t="inlineStr">
        <is>
          <t>365027493821</t>
        </is>
      </c>
      <c r="B95" s="9" t="inlineStr">
        <is>
          <t>365027493821</t>
        </is>
      </c>
      <c r="C95" s="10"/>
      <c r="D95" s="8" t="n">
        <v>0.0</v>
      </c>
      <c r="E95" s="8" t="n">
        <v>1.0</v>
      </c>
      <c r="F95" s="11" t="inlineStr">
        <is>
          <t>長井 千晶 [ナガイ チアキ]</t>
        </is>
      </c>
      <c r="G95" s="8" t="n">
        <f>R95&amp;S95&amp;T95&amp;U95&amp;V95</f>
        <v>0.0</v>
      </c>
      <c r="H95" s="8" t="inlineStr">
        <is>
          <t>080-5669-9363</t>
        </is>
      </c>
      <c r="I95" s="8" t="inlineStr">
        <is>
          <t>776-0013</t>
        </is>
      </c>
      <c r="J95" s="8" t="inlineStr">
        <is>
          <t>楽天-OBSESSION-L</t>
        </is>
      </c>
      <c r="K95" s="8" t="n">
        <f>W95&amp;X95&amp;Y95</f>
        <v>0.0</v>
      </c>
      <c r="L95" s="8"/>
      <c r="M95" s="8" t="inlineStr">
        <is>
          <t xml:space="preserve"> 05036359867</t>
        </is>
      </c>
      <c r="N95" s="16" t="inlineStr">
        <is>
          <t>148202040055</t>
        </is>
      </c>
      <c r="O95" s="8" t="inlineStr">
        <is>
          <t>Storage bag</t>
        </is>
      </c>
      <c r="P95" s="8"/>
      <c r="Q95" s="8" t="inlineStr">
        <is>
          <t>365027493821</t>
        </is>
      </c>
      <c r="R95" s="8" t="inlineStr">
        <is>
          <t>徳島県</t>
        </is>
      </c>
      <c r="S95" s="8" t="inlineStr">
        <is>
          <t>吉野川市</t>
        </is>
      </c>
      <c r="T95" s="8" t="inlineStr">
        <is>
          <t>鴨島町上下島字野神ノ元125-1 五九郎ビル2F</t>
        </is>
      </c>
      <c r="U95" s="8"/>
      <c r="V95" s="8"/>
      <c r="W95" s="8"/>
      <c r="X95" s="8"/>
      <c r="Y95" s="8" t="inlineStr">
        <is>
          <t xml:space="preserve"> 西成区北津守４－１３－４３</t>
        </is>
      </c>
    </row>
    <row r="96" customHeight="true" ht="33.05">
      <c r="A96" s="8" t="inlineStr">
        <is>
          <t>365027493681</t>
        </is>
      </c>
      <c r="B96" s="9" t="inlineStr">
        <is>
          <t>365027493681</t>
        </is>
      </c>
      <c r="C96" s="10"/>
      <c r="D96" s="8" t="n">
        <v>0.0</v>
      </c>
      <c r="E96" s="8" t="n">
        <v>1.0</v>
      </c>
      <c r="F96" s="11" t="inlineStr">
        <is>
          <t>道用 明日香 [ドウヨウ アスカ]</t>
        </is>
      </c>
      <c r="G96" s="8" t="n">
        <f>R96&amp;S96&amp;T96&amp;U96&amp;V96</f>
        <v>0.0</v>
      </c>
      <c r="H96" s="8" t="inlineStr">
        <is>
          <t>080-3134-0325</t>
        </is>
      </c>
      <c r="I96" s="8" t="inlineStr">
        <is>
          <t>565-0854</t>
        </is>
      </c>
      <c r="J96" s="8" t="inlineStr">
        <is>
          <t>楽天-kaneshiro</t>
        </is>
      </c>
      <c r="K96" s="8" t="n">
        <f>W96&amp;X96&amp;Y96</f>
        <v>0.0</v>
      </c>
      <c r="L96" s="8"/>
      <c r="M96" s="8" t="inlineStr">
        <is>
          <t xml:space="preserve"> 05030921748</t>
        </is>
      </c>
      <c r="N96" s="16" t="inlineStr">
        <is>
          <t>148202040055</t>
        </is>
      </c>
      <c r="O96" s="8" t="inlineStr">
        <is>
          <t>bag,toy</t>
        </is>
      </c>
      <c r="P96" s="8"/>
      <c r="Q96" s="8" t="inlineStr">
        <is>
          <t>365027493681</t>
        </is>
      </c>
      <c r="R96" s="8" t="inlineStr">
        <is>
          <t>大阪府</t>
        </is>
      </c>
      <c r="S96" s="8" t="inlineStr">
        <is>
          <t>吹田市</t>
        </is>
      </c>
      <c r="T96" s="8" t="inlineStr">
        <is>
          <t>桃山台2-3-8 アンビエラ桃山台208</t>
        </is>
      </c>
      <c r="U96" s="8"/>
      <c r="V96" s="8"/>
      <c r="W96" s="8"/>
      <c r="X96" s="8"/>
      <c r="Y96" s="8" t="inlineStr">
        <is>
          <t xml:space="preserve"> 大阪府大阪市東住吉区住道矢田七丁目１０番１３号</t>
        </is>
      </c>
    </row>
    <row r="97" customHeight="true" ht="33.05">
      <c r="A97" s="8" t="inlineStr">
        <is>
          <t>365027493725</t>
        </is>
      </c>
      <c r="B97" s="9" t="inlineStr">
        <is>
          <t>365027493725</t>
        </is>
      </c>
      <c r="C97" s="10"/>
      <c r="D97" s="8" t="n">
        <v>0.0</v>
      </c>
      <c r="E97" s="8" t="n">
        <v>1.0</v>
      </c>
      <c r="F97" s="11" t="inlineStr">
        <is>
          <t>小川 容江 [オガワ ヨウコ]</t>
        </is>
      </c>
      <c r="G97" s="8" t="n">
        <f>R97&amp;S97&amp;T97&amp;U97&amp;V97</f>
        <v>0.0</v>
      </c>
      <c r="H97" s="8" t="inlineStr">
        <is>
          <t>080-5242-1674</t>
        </is>
      </c>
      <c r="I97" s="8" t="inlineStr">
        <is>
          <t>899-2707</t>
        </is>
      </c>
      <c r="J97" s="8" t="inlineStr">
        <is>
          <t>楽天-さのののストア</t>
        </is>
      </c>
      <c r="K97" s="8" t="n">
        <f>W97&amp;X97&amp;Y97</f>
        <v>0.0</v>
      </c>
      <c r="L97" s="8"/>
      <c r="M97" s="8" t="inlineStr">
        <is>
          <t xml:space="preserve"> 050-8882-6402</t>
        </is>
      </c>
      <c r="N97" s="16" t="inlineStr">
        <is>
          <t>148202040055</t>
        </is>
      </c>
      <c r="O97" s="8" t="inlineStr">
        <is>
          <t>towel,bag,toy</t>
        </is>
      </c>
      <c r="P97" s="8"/>
      <c r="Q97" s="8" t="inlineStr">
        <is>
          <t>365027493725</t>
        </is>
      </c>
      <c r="R97" s="8" t="inlineStr">
        <is>
          <t>鹿児島県</t>
        </is>
      </c>
      <c r="S97" s="8" t="inlineStr">
        <is>
          <t>鹿児島市</t>
        </is>
      </c>
      <c r="T97" s="8" t="inlineStr">
        <is>
          <t>松陽台町40番地県営住宅松陽台団地34棟104</t>
        </is>
      </c>
      <c r="U97" s="8"/>
      <c r="V97" s="8"/>
      <c r="W97" s="8"/>
      <c r="X97" s="8"/>
      <c r="Y97" s="8" t="inlineStr">
        <is>
          <t xml:space="preserve"> 和歌山県和歌山市西釘貫丁２－５３プレミール石川５０２</t>
        </is>
      </c>
    </row>
    <row r="98" customHeight="true" ht="33.05">
      <c r="A98" s="8" t="inlineStr">
        <is>
          <t>365027493504</t>
        </is>
      </c>
      <c r="B98" s="9" t="inlineStr">
        <is>
          <t>365027493504</t>
        </is>
      </c>
      <c r="C98" s="10"/>
      <c r="D98" s="8" t="n">
        <v>0.0</v>
      </c>
      <c r="E98" s="8" t="n">
        <v>1.0</v>
      </c>
      <c r="F98" s="11" t="inlineStr">
        <is>
          <t>田野 宏一 [タノ ヒロカズ]</t>
        </is>
      </c>
      <c r="G98" s="8" t="n">
        <f>R98&amp;S98&amp;T98&amp;U98&amp;V98</f>
        <v>0.0</v>
      </c>
      <c r="H98" s="8" t="inlineStr">
        <is>
          <t>090-5307-7518</t>
        </is>
      </c>
      <c r="I98" s="8" t="inlineStr">
        <is>
          <t>339-0056</t>
        </is>
      </c>
      <c r="J98" s="8" t="inlineStr">
        <is>
          <t>楽天-eightyone-H</t>
        </is>
      </c>
      <c r="K98" s="8" t="n">
        <f>W98&amp;X98&amp;Y98</f>
        <v>0.0</v>
      </c>
      <c r="L98" s="8"/>
      <c r="M98" s="8" t="inlineStr">
        <is>
          <t xml:space="preserve"> 036-161-6083</t>
        </is>
      </c>
      <c r="N98" s="16" t="inlineStr">
        <is>
          <t>148202040055</t>
        </is>
      </c>
      <c r="O98" s="8" t="inlineStr">
        <is>
          <t>pen box</t>
        </is>
      </c>
      <c r="P98" s="8"/>
      <c r="Q98" s="8" t="inlineStr">
        <is>
          <t>365027493504</t>
        </is>
      </c>
      <c r="R98" s="8" t="inlineStr">
        <is>
          <t>埼玉県</t>
        </is>
      </c>
      <c r="S98" s="8" t="inlineStr">
        <is>
          <t>さいたま市岩槻区</t>
        </is>
      </c>
      <c r="T98" s="8" t="inlineStr">
        <is>
          <t>加倉 4-12-3</t>
        </is>
      </c>
      <c r="U98" s="8"/>
      <c r="V98" s="8"/>
      <c r="W98" s="8"/>
      <c r="X98" s="8"/>
      <c r="Y98" s="8" t="inlineStr">
        <is>
          <t xml:space="preserve"> 東京都品川区平塚1-13-1</t>
        </is>
      </c>
    </row>
    <row r="99" customHeight="true" ht="33.05">
      <c r="A99" s="8" t="inlineStr">
        <is>
          <t>365027469914</t>
        </is>
      </c>
      <c r="B99" s="9" t="inlineStr">
        <is>
          <t>365027469914</t>
        </is>
      </c>
      <c r="C99" s="10"/>
      <c r="D99" s="8" t="n">
        <v>0.0</v>
      </c>
      <c r="E99" s="8" t="n">
        <v>1.0</v>
      </c>
      <c r="F99" s="11" t="inlineStr">
        <is>
          <t>安达翔</t>
        </is>
      </c>
      <c r="G99" s="8" t="n">
        <f>R99&amp;S99&amp;T99&amp;U99&amp;V99</f>
        <v>0.0</v>
      </c>
      <c r="H99" s="8" t="inlineStr">
        <is>
          <t>08059682833</t>
        </is>
      </c>
      <c r="I99" s="8" t="inlineStr">
        <is>
          <t>350-1317</t>
        </is>
      </c>
      <c r="J99" s="8"/>
      <c r="K99" s="8" t="n">
        <f>W99&amp;X99&amp;Y99</f>
        <v>0.0</v>
      </c>
      <c r="L99" s="8"/>
      <c r="M99" s="8" t="inlineStr">
        <is>
          <t xml:space="preserve"> </t>
        </is>
      </c>
      <c r="N99" s="16" t="inlineStr">
        <is>
          <t>148202040055</t>
        </is>
      </c>
      <c r="O99" s="8" t="inlineStr">
        <is>
          <t>plastic toys</t>
        </is>
      </c>
      <c r="P99" s="8"/>
      <c r="Q99" s="8" t="inlineStr">
        <is>
          <t>365027469914</t>
        </is>
      </c>
      <c r="R99" s="8"/>
      <c r="S99" s="8"/>
      <c r="T99" s="8" t="inlineStr">
        <is>
          <t>埼玉県狭山市大字水野５０７－１</t>
        </is>
      </c>
      <c r="U99" s="8"/>
      <c r="V99" s="8"/>
      <c r="W99" s="8"/>
      <c r="X99" s="8"/>
      <c r="Y99" s="8" t="inlineStr">
        <is>
          <t xml:space="preserve"> </t>
        </is>
      </c>
    </row>
    <row r="100" customHeight="true" ht="33.05">
      <c r="A100" s="8" t="inlineStr">
        <is>
          <t>365027493714</t>
        </is>
      </c>
      <c r="B100" s="9" t="inlineStr">
        <is>
          <t>365027493714</t>
        </is>
      </c>
      <c r="C100" s="10"/>
      <c r="D100" s="8" t="n">
        <v>0.0</v>
      </c>
      <c r="E100" s="8" t="n">
        <v>1.0</v>
      </c>
      <c r="F100" s="11" t="inlineStr">
        <is>
          <t>山碕 諒介 [ヤマザキ リョウスケ]</t>
        </is>
      </c>
      <c r="G100" s="8" t="n">
        <f>R100&amp;S100&amp;T100&amp;U100&amp;V100</f>
        <v>0.0</v>
      </c>
      <c r="H100" s="8" t="inlineStr">
        <is>
          <t>090-6911-8684</t>
        </is>
      </c>
      <c r="I100" s="8" t="inlineStr">
        <is>
          <t>676-0011</t>
        </is>
      </c>
      <c r="J100" s="8" t="inlineStr">
        <is>
          <t>楽天-kaneshiro</t>
        </is>
      </c>
      <c r="K100" s="8" t="n">
        <f>W100&amp;X100&amp;Y100</f>
        <v>0.0</v>
      </c>
      <c r="L100" s="8"/>
      <c r="M100" s="8" t="inlineStr">
        <is>
          <t xml:space="preserve"> 05030921748</t>
        </is>
      </c>
      <c r="N100" s="16" t="inlineStr">
        <is>
          <t>148202040055</t>
        </is>
      </c>
      <c r="O100" s="8" t="inlineStr">
        <is>
          <t>Musical instrument toys</t>
        </is>
      </c>
      <c r="P100" s="8"/>
      <c r="Q100" s="8" t="inlineStr">
        <is>
          <t>365027493714</t>
        </is>
      </c>
      <c r="R100" s="8" t="inlineStr">
        <is>
          <t>兵庫県</t>
        </is>
      </c>
      <c r="S100" s="8" t="inlineStr">
        <is>
          <t>高砂市</t>
        </is>
      </c>
      <c r="T100" s="8" t="inlineStr">
        <is>
          <t>荒井町小松原3丁目13番10-5</t>
        </is>
      </c>
      <c r="U100" s="8"/>
      <c r="V100" s="8"/>
      <c r="W100" s="8"/>
      <c r="X100" s="8"/>
      <c r="Y100" s="8" t="inlineStr">
        <is>
          <t xml:space="preserve"> 大阪府大阪市東住吉区住道矢田七丁目１０番１３号</t>
        </is>
      </c>
    </row>
    <row r="101" customHeight="true" ht="33.05">
      <c r="A101" s="8" t="inlineStr">
        <is>
          <t>365027472176</t>
        </is>
      </c>
      <c r="B101" s="9" t="inlineStr">
        <is>
          <t>365027472176</t>
        </is>
      </c>
      <c r="C101" s="10"/>
      <c r="D101" s="8" t="n">
        <v>0.0</v>
      </c>
      <c r="E101" s="8" t="n">
        <v>1.0</v>
      </c>
      <c r="F101" s="11" t="inlineStr">
        <is>
          <t>藤原 励</t>
        </is>
      </c>
      <c r="G101" s="8" t="n">
        <f>R101&amp;S101&amp;T101&amp;U101&amp;V101</f>
        <v>0.0</v>
      </c>
      <c r="H101" s="8" t="inlineStr">
        <is>
          <t>08031909562</t>
        </is>
      </c>
      <c r="I101" s="8" t="inlineStr">
        <is>
          <t>221-0854</t>
        </is>
      </c>
      <c r="J101" s="8"/>
      <c r="K101" s="8" t="n">
        <f>W101&amp;X101&amp;Y101</f>
        <v>0.0</v>
      </c>
      <c r="L101" s="8"/>
      <c r="M101" s="8" t="inlineStr">
        <is>
          <t xml:space="preserve"> </t>
        </is>
      </c>
      <c r="N101" s="16" t="inlineStr">
        <is>
          <t>148202040055</t>
        </is>
      </c>
      <c r="O101" s="8" t="inlineStr">
        <is>
          <t>plastic toys</t>
        </is>
      </c>
      <c r="P101" s="8"/>
      <c r="Q101" s="8" t="inlineStr">
        <is>
          <t>365027472176</t>
        </is>
      </c>
      <c r="R101" s="8"/>
      <c r="S101" s="8"/>
      <c r="T101" s="8" t="inlineStr">
        <is>
          <t>神奈川県横浜市神奈川区三ツ沢南町17-13-106</t>
        </is>
      </c>
      <c r="U101" s="8"/>
      <c r="V101" s="8"/>
      <c r="W101" s="8"/>
      <c r="X101" s="8"/>
      <c r="Y101" s="8" t="inlineStr">
        <is>
          <t xml:space="preserve"> </t>
        </is>
      </c>
    </row>
    <row r="102" customHeight="true" ht="33.05">
      <c r="A102" s="8" t="inlineStr">
        <is>
          <t>365027472154</t>
        </is>
      </c>
      <c r="B102" s="9" t="inlineStr">
        <is>
          <t>365027472154</t>
        </is>
      </c>
      <c r="C102" s="10"/>
      <c r="D102" s="8" t="n">
        <v>0.0</v>
      </c>
      <c r="E102" s="8" t="n">
        <v>1.0</v>
      </c>
      <c r="F102" s="11" t="inlineStr">
        <is>
          <t>Ayako Uehara</t>
        </is>
      </c>
      <c r="G102" s="8" t="n">
        <f>R102&amp;S102&amp;T102&amp;U102&amp;V102</f>
        <v>0.0</v>
      </c>
      <c r="H102" s="8" t="inlineStr">
        <is>
          <t>090-9175-9406</t>
        </is>
      </c>
      <c r="I102" s="8" t="inlineStr">
        <is>
          <t>414-0051</t>
        </is>
      </c>
      <c r="J102" s="8"/>
      <c r="K102" s="8" t="n">
        <f>W102&amp;X102&amp;Y102</f>
        <v>0.0</v>
      </c>
      <c r="L102" s="8"/>
      <c r="M102" s="8" t="inlineStr">
        <is>
          <t xml:space="preserve"> </t>
        </is>
      </c>
      <c r="N102" s="16" t="inlineStr">
        <is>
          <t>148202040055</t>
        </is>
      </c>
      <c r="O102" s="8" t="inlineStr">
        <is>
          <t>plastic toys</t>
        </is>
      </c>
      <c r="P102" s="8"/>
      <c r="Q102" s="8" t="inlineStr">
        <is>
          <t>365027472154</t>
        </is>
      </c>
      <c r="R102" s="8"/>
      <c r="S102" s="8"/>
      <c r="T102" s="8" t="inlineStr">
        <is>
          <t>静岡県伊東市吉田79-5</t>
        </is>
      </c>
      <c r="U102" s="8"/>
      <c r="V102" s="8"/>
      <c r="W102" s="8"/>
      <c r="X102" s="8"/>
      <c r="Y102" s="8" t="inlineStr">
        <is>
          <t xml:space="preserve"> </t>
        </is>
      </c>
    </row>
    <row r="103" customHeight="true" ht="33.05">
      <c r="A103" s="8" t="inlineStr">
        <is>
          <t>365027493622</t>
        </is>
      </c>
      <c r="B103" s="9" t="inlineStr">
        <is>
          <t>365027493622</t>
        </is>
      </c>
      <c r="C103" s="10"/>
      <c r="D103" s="8" t="n">
        <v>0.0</v>
      </c>
      <c r="E103" s="8" t="n">
        <v>1.0</v>
      </c>
      <c r="F103" s="11" t="inlineStr">
        <is>
          <t>日紫喜 隆 [ヒシキ タカシ]</t>
        </is>
      </c>
      <c r="G103" s="8" t="n">
        <f>R103&amp;S103&amp;T103&amp;U103&amp;V103</f>
        <v>0.0</v>
      </c>
      <c r="H103" s="8" t="inlineStr">
        <is>
          <t>090-3844-5119</t>
        </is>
      </c>
      <c r="I103" s="8" t="inlineStr">
        <is>
          <t>565-0831</t>
        </is>
      </c>
      <c r="J103" s="8" t="inlineStr">
        <is>
          <t>楽天-Rumay-D</t>
        </is>
      </c>
      <c r="K103" s="8" t="n">
        <f>W103&amp;X103&amp;Y103</f>
        <v>0.0</v>
      </c>
      <c r="L103" s="8"/>
      <c r="M103" s="8" t="inlineStr">
        <is>
          <t xml:space="preserve"> 072-703-4761</t>
        </is>
      </c>
      <c r="N103" s="16" t="inlineStr">
        <is>
          <t>148202040055</t>
        </is>
      </c>
      <c r="O103" s="8" t="inlineStr">
        <is>
          <t>Binoculars</t>
        </is>
      </c>
      <c r="P103" s="8"/>
      <c r="Q103" s="8" t="inlineStr">
        <is>
          <t>365027493622</t>
        </is>
      </c>
      <c r="R103" s="8" t="inlineStr">
        <is>
          <t>大阪府</t>
        </is>
      </c>
      <c r="S103" s="8" t="inlineStr">
        <is>
          <t>吹田市</t>
        </is>
      </c>
      <c r="T103" s="8" t="inlineStr">
        <is>
          <t>五月が丘東6-B-1307</t>
        </is>
      </c>
      <c r="U103" s="8"/>
      <c r="V103" s="8"/>
      <c r="W103" s="8"/>
      <c r="X103" s="8"/>
      <c r="Y103" s="8" t="inlineStr">
        <is>
          <t xml:space="preserve"> 中央区内本町2‐3‐8　ダイアパレスビル本町 1006ミズイシテクノロジー</t>
        </is>
      </c>
    </row>
    <row r="104" customHeight="true" ht="33.05">
      <c r="A104" s="8" t="inlineStr">
        <is>
          <t>365027493202</t>
        </is>
      </c>
      <c r="B104" s="9" t="inlineStr">
        <is>
          <t>365027493202</t>
        </is>
      </c>
      <c r="C104" s="10"/>
      <c r="D104" s="8" t="n">
        <v>0.0</v>
      </c>
      <c r="E104" s="8" t="n">
        <v>1.0</v>
      </c>
      <c r="F104" s="11" t="inlineStr">
        <is>
          <t>とし内科 田中稔之 [トシナイカ タナカトシユキ]</t>
        </is>
      </c>
      <c r="G104" s="8" t="n">
        <f>R104&amp;S104&amp;T104&amp;U104&amp;V104</f>
        <v>0.0</v>
      </c>
      <c r="H104" s="8" t="inlineStr">
        <is>
          <t>080-6103-5739</t>
        </is>
      </c>
      <c r="I104" s="8" t="inlineStr">
        <is>
          <t>671-1523</t>
        </is>
      </c>
      <c r="J104" s="8" t="inlineStr">
        <is>
          <t>楽天-sepco</t>
        </is>
      </c>
      <c r="K104" s="8" t="n">
        <f>W104&amp;X104&amp;Y104</f>
        <v>0.0</v>
      </c>
      <c r="L104" s="8"/>
      <c r="M104" s="8" t="inlineStr">
        <is>
          <t xml:space="preserve"> 070-5589-7493</t>
        </is>
      </c>
      <c r="N104" s="16" t="inlineStr">
        <is>
          <t>148202040055</t>
        </is>
      </c>
      <c r="O104" s="8" t="inlineStr">
        <is>
          <t>Detector</t>
        </is>
      </c>
      <c r="P104" s="8"/>
      <c r="Q104" s="8" t="inlineStr">
        <is>
          <t>365027493202</t>
        </is>
      </c>
      <c r="R104" s="8" t="inlineStr">
        <is>
          <t>兵庫県</t>
        </is>
      </c>
      <c r="S104" s="8" t="inlineStr">
        <is>
          <t>揖保郡太子町</t>
        </is>
      </c>
      <c r="T104" s="8" t="inlineStr">
        <is>
          <t>東南344-6</t>
        </is>
      </c>
      <c r="U104" s="8"/>
      <c r="V104" s="8"/>
      <c r="W104" s="8"/>
      <c r="X104" s="8"/>
      <c r="Y104" s="8" t="inlineStr">
        <is>
          <t xml:space="preserve"> 中区大手町1-1-26-305大手町一番ビル</t>
        </is>
      </c>
    </row>
    <row r="105" customHeight="true" ht="33.05">
      <c r="A105" s="8" t="inlineStr">
        <is>
          <t>365027492944</t>
        </is>
      </c>
      <c r="B105" s="9" t="inlineStr">
        <is>
          <t>365027492944</t>
        </is>
      </c>
      <c r="C105" s="10"/>
      <c r="D105" s="8" t="n">
        <v>0.0</v>
      </c>
      <c r="E105" s="8" t="n">
        <v>1.0</v>
      </c>
      <c r="F105" s="11" t="inlineStr">
        <is>
          <t>本間 美穂 [ホンマ ミホ]</t>
        </is>
      </c>
      <c r="G105" s="8" t="n">
        <f>R105&amp;S105&amp;T105&amp;U105&amp;V105</f>
        <v>0.0</v>
      </c>
      <c r="H105" s="8" t="inlineStr">
        <is>
          <t>090-2600-2397</t>
        </is>
      </c>
      <c r="I105" s="8" t="inlineStr">
        <is>
          <t>085-0065</t>
        </is>
      </c>
      <c r="J105" s="8" t="inlineStr">
        <is>
          <t>楽天-KAMCITY-L</t>
        </is>
      </c>
      <c r="K105" s="8" t="n">
        <f>W105&amp;X105&amp;Y105</f>
        <v>0.0</v>
      </c>
      <c r="L105" s="8"/>
      <c r="M105" s="8" t="inlineStr">
        <is>
          <t xml:space="preserve"> 070-1432-7896</t>
        </is>
      </c>
      <c r="N105" s="16" t="inlineStr">
        <is>
          <t>148202040055</t>
        </is>
      </c>
      <c r="O105" s="8" t="inlineStr">
        <is>
          <t>Fever scarf</t>
        </is>
      </c>
      <c r="P105" s="8"/>
      <c r="Q105" s="8" t="inlineStr">
        <is>
          <t>365027492944</t>
        </is>
      </c>
      <c r="R105" s="8" t="inlineStr">
        <is>
          <t>北海道</t>
        </is>
      </c>
      <c r="S105" s="8" t="inlineStr">
        <is>
          <t>釧路市</t>
        </is>
      </c>
      <c r="T105" s="8" t="inlineStr">
        <is>
          <t>美原四丁目5-18 美原四丁目宿舎 102号室</t>
        </is>
      </c>
      <c r="U105" s="8"/>
      <c r="V105" s="8"/>
      <c r="W105" s="8"/>
      <c r="X105" s="8"/>
      <c r="Y105" s="8" t="inlineStr">
        <is>
          <t xml:space="preserve"> 内本町2‐3‐8</t>
        </is>
      </c>
    </row>
    <row r="106" customHeight="true" ht="33.05">
      <c r="A106" s="8" t="inlineStr">
        <is>
          <t>365027493224</t>
        </is>
      </c>
      <c r="B106" s="9" t="inlineStr">
        <is>
          <t>365027493224</t>
        </is>
      </c>
      <c r="C106" s="10"/>
      <c r="D106" s="8" t="n">
        <v>0.0</v>
      </c>
      <c r="E106" s="8" t="n">
        <v>1.0</v>
      </c>
      <c r="F106" s="11" t="inlineStr">
        <is>
          <t>エルファースト株式会社 石田剛大 [エルファースト イシダタカオ]</t>
        </is>
      </c>
      <c r="G106" s="8" t="n">
        <f>R106&amp;S106&amp;T106&amp;U106&amp;V106</f>
        <v>0.0</v>
      </c>
      <c r="H106" s="8" t="inlineStr">
        <is>
          <t>070-9075-0358</t>
        </is>
      </c>
      <c r="I106" s="8" t="inlineStr">
        <is>
          <t>372-0014</t>
        </is>
      </c>
      <c r="J106" s="8" t="inlineStr">
        <is>
          <t>楽天-eightyone-H</t>
        </is>
      </c>
      <c r="K106" s="8" t="n">
        <f>W106&amp;X106&amp;Y106</f>
        <v>0.0</v>
      </c>
      <c r="L106" s="8"/>
      <c r="M106" s="8" t="inlineStr">
        <is>
          <t xml:space="preserve"> 036-161-6083</t>
        </is>
      </c>
      <c r="N106" s="16" t="inlineStr">
        <is>
          <t>148202040055</t>
        </is>
      </c>
      <c r="O106" s="8" t="inlineStr">
        <is>
          <t>Plastic toys</t>
        </is>
      </c>
      <c r="P106" s="8"/>
      <c r="Q106" s="8" t="inlineStr">
        <is>
          <t>365027493224</t>
        </is>
      </c>
      <c r="R106" s="8" t="inlineStr">
        <is>
          <t>群馬県</t>
        </is>
      </c>
      <c r="S106" s="8" t="inlineStr">
        <is>
          <t>伊勢崎市</t>
        </is>
      </c>
      <c r="T106" s="8" t="inlineStr">
        <is>
          <t>昭和町1689-4</t>
        </is>
      </c>
      <c r="U106" s="8"/>
      <c r="V106" s="8"/>
      <c r="W106" s="8"/>
      <c r="X106" s="8"/>
      <c r="Y106" s="8" t="inlineStr">
        <is>
          <t xml:space="preserve"> 東京都品川区平塚1-13-1</t>
        </is>
      </c>
    </row>
    <row r="107" customHeight="true" ht="33.05">
      <c r="A107" s="8" t="inlineStr">
        <is>
          <t>365027493703</t>
        </is>
      </c>
      <c r="B107" s="9" t="inlineStr">
        <is>
          <t>365027493703</t>
        </is>
      </c>
      <c r="C107" s="10"/>
      <c r="D107" s="8" t="n">
        <v>0.0</v>
      </c>
      <c r="E107" s="8" t="n">
        <v>1.0</v>
      </c>
      <c r="F107" s="11" t="inlineStr">
        <is>
          <t>神谷 友梨 [カミヤ ユリ]</t>
        </is>
      </c>
      <c r="G107" s="8" t="n">
        <f>R107&amp;S107&amp;T107&amp;U107&amp;V107</f>
        <v>0.0</v>
      </c>
      <c r="H107" s="8" t="inlineStr">
        <is>
          <t>080-4548-8848</t>
        </is>
      </c>
      <c r="I107" s="8" t="inlineStr">
        <is>
          <t>450-0003</t>
        </is>
      </c>
      <c r="J107" s="8" t="inlineStr">
        <is>
          <t>楽天-OBSESSION-L</t>
        </is>
      </c>
      <c r="K107" s="8" t="n">
        <f>W107&amp;X107&amp;Y107</f>
        <v>0.0</v>
      </c>
      <c r="L107" s="8"/>
      <c r="M107" s="8" t="inlineStr">
        <is>
          <t xml:space="preserve"> 05036359867</t>
        </is>
      </c>
      <c r="N107" s="16" t="inlineStr">
        <is>
          <t>148202040055</t>
        </is>
      </c>
      <c r="O107" s="8" t="inlineStr">
        <is>
          <t>Fan</t>
        </is>
      </c>
      <c r="P107" s="8"/>
      <c r="Q107" s="8" t="inlineStr">
        <is>
          <t>365027493703</t>
        </is>
      </c>
      <c r="R107" s="8" t="inlineStr">
        <is>
          <t>愛知県</t>
        </is>
      </c>
      <c r="S107" s="8" t="inlineStr">
        <is>
          <t>名古屋市中村区</t>
        </is>
      </c>
      <c r="T107" s="8" t="inlineStr">
        <is>
          <t>名駅南3丁目3-16ディモーラ名駅南301</t>
        </is>
      </c>
      <c r="U107" s="8"/>
      <c r="V107" s="8"/>
      <c r="W107" s="8"/>
      <c r="X107" s="8"/>
      <c r="Y107" s="8" t="inlineStr">
        <is>
          <t xml:space="preserve"> 西成区北津守４－１３－４３</t>
        </is>
      </c>
    </row>
    <row r="108" customHeight="true" ht="33.05">
      <c r="A108" s="8" t="inlineStr">
        <is>
          <t>365027493633</t>
        </is>
      </c>
      <c r="B108" s="9" t="inlineStr">
        <is>
          <t>365027493633</t>
        </is>
      </c>
      <c r="C108" s="10" t="n">
        <v>46007.0</v>
      </c>
      <c r="D108" s="8" t="n">
        <v>0.0</v>
      </c>
      <c r="E108" s="8" t="n">
        <v>1.0</v>
      </c>
      <c r="F108" s="11" t="inlineStr">
        <is>
          <t>香月 星乃 [カツキ セイノ]</t>
        </is>
      </c>
      <c r="G108" s="8" t="n">
        <f>R108&amp;S108&amp;T108&amp;U108&amp;V108</f>
        <v>0.0</v>
      </c>
      <c r="H108" s="8" t="inlineStr">
        <is>
          <t>090-9395-3963</t>
        </is>
      </c>
      <c r="I108" s="8" t="inlineStr">
        <is>
          <t>156-0055</t>
        </is>
      </c>
      <c r="J108" s="8" t="inlineStr">
        <is>
          <t>楽天-SUTAIRU-D</t>
        </is>
      </c>
      <c r="K108" s="8" t="n">
        <f>W108&amp;X108&amp;Y108</f>
        <v>0.0</v>
      </c>
      <c r="L108" s="8"/>
      <c r="M108" s="8" t="inlineStr">
        <is>
          <t xml:space="preserve"> 070-1432-7896</t>
        </is>
      </c>
      <c r="N108" s="16" t="inlineStr">
        <is>
          <t>148202040055</t>
        </is>
      </c>
      <c r="O108" s="8" t="inlineStr">
        <is>
          <t>Night light</t>
        </is>
      </c>
      <c r="P108" s="8"/>
      <c r="Q108" s="8" t="inlineStr">
        <is>
          <t>365027493633</t>
        </is>
      </c>
      <c r="R108" s="8" t="inlineStr">
        <is>
          <t>東京都</t>
        </is>
      </c>
      <c r="S108" s="8" t="inlineStr">
        <is>
          <t>世田谷区</t>
        </is>
      </c>
      <c r="T108" s="8" t="inlineStr">
        <is>
          <t>船橋6-27-1-7102025-12-16(火)</t>
        </is>
      </c>
      <c r="U108" s="8"/>
      <c r="V108" s="8"/>
      <c r="W108" s="8"/>
      <c r="X108" s="8"/>
      <c r="Y108" s="8" t="inlineStr">
        <is>
          <t xml:space="preserve"> 内本町2‐3‐8</t>
        </is>
      </c>
    </row>
    <row r="109" customHeight="true" ht="33.05">
      <c r="A109" s="8" t="inlineStr">
        <is>
          <t>365027493611</t>
        </is>
      </c>
      <c r="B109" s="9" t="inlineStr">
        <is>
          <t>365027493611</t>
        </is>
      </c>
      <c r="C109" s="10"/>
      <c r="D109" s="8" t="n">
        <v>0.0</v>
      </c>
      <c r="E109" s="8" t="n">
        <v>1.0</v>
      </c>
      <c r="F109" s="11" t="inlineStr">
        <is>
          <t>横山 葵 [ヨコヤマ アオイ]</t>
        </is>
      </c>
      <c r="G109" s="8" t="n">
        <f>R109&amp;S109&amp;T109&amp;U109&amp;V109</f>
        <v>0.0</v>
      </c>
      <c r="H109" s="8" t="inlineStr">
        <is>
          <t>080-5596-5050</t>
        </is>
      </c>
      <c r="I109" s="8" t="inlineStr">
        <is>
          <t>069-0361</t>
        </is>
      </c>
      <c r="J109" s="8" t="inlineStr">
        <is>
          <t>楽天-さのののストア</t>
        </is>
      </c>
      <c r="K109" s="8" t="n">
        <f>W109&amp;X109&amp;Y109</f>
        <v>0.0</v>
      </c>
      <c r="L109" s="8"/>
      <c r="M109" s="8" t="inlineStr">
        <is>
          <t xml:space="preserve"> 050-8882-6402</t>
        </is>
      </c>
      <c r="N109" s="16" t="inlineStr">
        <is>
          <t>148202040055</t>
        </is>
      </c>
      <c r="O109" s="8" t="inlineStr">
        <is>
          <t>data line,Pepper mill</t>
        </is>
      </c>
      <c r="P109" s="8"/>
      <c r="Q109" s="8" t="inlineStr">
        <is>
          <t>365027493611</t>
        </is>
      </c>
      <c r="R109" s="8" t="inlineStr">
        <is>
          <t>北海道</t>
        </is>
      </c>
      <c r="S109" s="8" t="inlineStr">
        <is>
          <t>岩見沢市</t>
        </is>
      </c>
      <c r="T109" s="8" t="inlineStr">
        <is>
          <t>上幌向北一条5丁目758-41</t>
        </is>
      </c>
      <c r="U109" s="8"/>
      <c r="V109" s="8"/>
      <c r="W109" s="8"/>
      <c r="X109" s="8"/>
      <c r="Y109" s="8" t="inlineStr">
        <is>
          <t xml:space="preserve"> 和歌山県和歌山市西釘貫丁２－５３プレミール石川５０２</t>
        </is>
      </c>
    </row>
    <row r="110" customHeight="true" ht="33.05">
      <c r="A110" s="8" t="inlineStr">
        <is>
          <t>365027470592</t>
        </is>
      </c>
      <c r="B110" s="9" t="inlineStr">
        <is>
          <t>365027470592</t>
        </is>
      </c>
      <c r="C110" s="10"/>
      <c r="D110" s="8" t="n">
        <v>0.0</v>
      </c>
      <c r="E110" s="8" t="n">
        <v>1.0</v>
      </c>
      <c r="F110" s="11" t="inlineStr">
        <is>
          <t>山本剛</t>
        </is>
      </c>
      <c r="G110" s="8" t="n">
        <f>R110&amp;S110&amp;T110&amp;U110&amp;V110</f>
        <v>0.0</v>
      </c>
      <c r="H110" s="8" t="inlineStr">
        <is>
          <t>053-468-6380</t>
        </is>
      </c>
      <c r="I110" s="8" t="inlineStr">
        <is>
          <t>435-0056</t>
        </is>
      </c>
      <c r="J110" s="8"/>
      <c r="K110" s="8" t="n">
        <f>W110&amp;X110&amp;Y110</f>
        <v>0.0</v>
      </c>
      <c r="L110" s="8"/>
      <c r="M110" s="8" t="inlineStr">
        <is>
          <t xml:space="preserve"> </t>
        </is>
      </c>
      <c r="N110" s="16" t="inlineStr">
        <is>
          <t>148202040055</t>
        </is>
      </c>
      <c r="O110" s="8" t="inlineStr">
        <is>
          <t>LED lights</t>
        </is>
      </c>
      <c r="P110" s="8"/>
      <c r="Q110" s="8" t="inlineStr">
        <is>
          <t>365027470592</t>
        </is>
      </c>
      <c r="R110" s="8"/>
      <c r="S110" s="8"/>
      <c r="T110" s="8" t="inlineStr">
        <is>
          <t>静岡県浜松市中央区小池町2642</t>
        </is>
      </c>
      <c r="U110" s="8"/>
      <c r="V110" s="8"/>
      <c r="W110" s="8"/>
      <c r="X110" s="8"/>
      <c r="Y110" s="8" t="inlineStr">
        <is>
          <t xml:space="preserve"> </t>
        </is>
      </c>
    </row>
    <row r="111" customHeight="true" ht="33.05">
      <c r="A111" s="8" t="inlineStr">
        <is>
          <t>365027493143</t>
        </is>
      </c>
      <c r="B111" s="9" t="inlineStr">
        <is>
          <t>365027493143</t>
        </is>
      </c>
      <c r="C111" s="10"/>
      <c r="D111" s="8" t="n">
        <v>0.0</v>
      </c>
      <c r="E111" s="8" t="n">
        <v>1.0</v>
      </c>
      <c r="F111" s="11" t="inlineStr">
        <is>
          <t>株式会社 坂本推進</t>
        </is>
      </c>
      <c r="G111" s="8" t="n">
        <f>R111&amp;S111&amp;T111&amp;U111&amp;V111</f>
        <v>0.0</v>
      </c>
      <c r="H111" s="8" t="inlineStr">
        <is>
          <t>017-743-3302</t>
        </is>
      </c>
      <c r="I111" s="8" t="inlineStr">
        <is>
          <t>030-0945</t>
        </is>
      </c>
      <c r="J111" s="8" t="inlineStr">
        <is>
          <t>楽天-SUTAIRU-D</t>
        </is>
      </c>
      <c r="K111" s="8" t="n">
        <f>W111&amp;X111&amp;Y111</f>
        <v>0.0</v>
      </c>
      <c r="L111" s="8"/>
      <c r="M111" s="8" t="inlineStr">
        <is>
          <t xml:space="preserve"> 070-1432-7896</t>
        </is>
      </c>
      <c r="N111" s="16" t="inlineStr">
        <is>
          <t>148202040055</t>
        </is>
      </c>
      <c r="O111" s="8" t="inlineStr">
        <is>
          <t>Scanning pen</t>
        </is>
      </c>
      <c r="P111" s="8"/>
      <c r="Q111" s="8" t="inlineStr">
        <is>
          <t>365027493143</t>
        </is>
      </c>
      <c r="R111" s="8" t="inlineStr">
        <is>
          <t>青森県</t>
        </is>
      </c>
      <c r="S111" s="8" t="inlineStr">
        <is>
          <t>青森市</t>
        </is>
      </c>
      <c r="T111" s="8" t="inlineStr">
        <is>
          <t>桜川9-9-24</t>
        </is>
      </c>
      <c r="U111" s="8"/>
      <c r="V111" s="8"/>
      <c r="W111" s="8"/>
      <c r="X111" s="8"/>
      <c r="Y111" s="8" t="inlineStr">
        <is>
          <t xml:space="preserve"> 内本町2‐3‐8</t>
        </is>
      </c>
    </row>
    <row r="112" customHeight="true" ht="33.05">
      <c r="A112" s="8" t="inlineStr">
        <is>
          <t>365027491791</t>
        </is>
      </c>
      <c r="B112" s="9" t="inlineStr">
        <is>
          <t>365027491791</t>
        </is>
      </c>
      <c r="C112" s="10"/>
      <c r="D112" s="8" t="n">
        <v>0.0</v>
      </c>
      <c r="E112" s="8" t="n">
        <v>1.0</v>
      </c>
      <c r="F112" s="11" t="inlineStr">
        <is>
          <t>市毛 徹 [イチゲ トオル]</t>
        </is>
      </c>
      <c r="G112" s="8" t="n">
        <f>R112&amp;S112&amp;T112&amp;U112&amp;V112</f>
        <v>0.0</v>
      </c>
      <c r="H112" s="8" t="inlineStr">
        <is>
          <t>090-1357-3364</t>
        </is>
      </c>
      <c r="I112" s="8" t="inlineStr">
        <is>
          <t>417-0856</t>
        </is>
      </c>
      <c r="J112" s="8" t="inlineStr">
        <is>
          <t>楽天-Rumay-D</t>
        </is>
      </c>
      <c r="K112" s="8" t="n">
        <f>W112&amp;X112&amp;Y112</f>
        <v>0.0</v>
      </c>
      <c r="L112" s="8"/>
      <c r="M112" s="8" t="inlineStr">
        <is>
          <t xml:space="preserve"> 072-703-4761</t>
        </is>
      </c>
      <c r="N112" s="16" t="inlineStr">
        <is>
          <t>148202040055</t>
        </is>
      </c>
      <c r="O112" s="8" t="inlineStr">
        <is>
          <t>circuit changer</t>
        </is>
      </c>
      <c r="P112" s="8"/>
      <c r="Q112" s="8" t="inlineStr">
        <is>
          <t>365027491791</t>
        </is>
      </c>
      <c r="R112" s="8" t="inlineStr">
        <is>
          <t>静岡県</t>
        </is>
      </c>
      <c r="S112" s="8" t="inlineStr">
        <is>
          <t>富士市</t>
        </is>
      </c>
      <c r="T112" s="8" t="inlineStr">
        <is>
          <t>さんどまき57番地</t>
        </is>
      </c>
      <c r="U112" s="8"/>
      <c r="V112" s="8"/>
      <c r="W112" s="8"/>
      <c r="X112" s="8"/>
      <c r="Y112" s="8" t="inlineStr">
        <is>
          <t xml:space="preserve"> 中央区内本町2‐3‐8　ダイアパレスビル本町 1006ミズイシテクノロジー</t>
        </is>
      </c>
    </row>
    <row r="113" customHeight="true" ht="33.05">
      <c r="A113" s="8" t="inlineStr">
        <is>
          <t>365027493423</t>
        </is>
      </c>
      <c r="B113" s="9" t="inlineStr">
        <is>
          <t>365027493423</t>
        </is>
      </c>
      <c r="C113" s="10"/>
      <c r="D113" s="8" t="n">
        <v>0.0</v>
      </c>
      <c r="E113" s="8" t="n">
        <v>1.0</v>
      </c>
      <c r="F113" s="11" t="inlineStr">
        <is>
          <t>網田 涼花</t>
        </is>
      </c>
      <c r="G113" s="8" t="n">
        <f>R113&amp;S113&amp;T113&amp;U113&amp;V113</f>
        <v>0.0</v>
      </c>
      <c r="H113" s="8" t="inlineStr">
        <is>
          <t>080-5627-8932</t>
        </is>
      </c>
      <c r="I113" s="8" t="inlineStr">
        <is>
          <t>522-0025</t>
        </is>
      </c>
      <c r="J113" s="8" t="inlineStr">
        <is>
          <t/>
        </is>
      </c>
      <c r="K113" s="8" t="n">
        <f>W113&amp;X113&amp;Y113</f>
        <v>0.0</v>
      </c>
      <c r="L113" s="8"/>
      <c r="M113" s="8" t="inlineStr">
        <is>
          <t xml:space="preserve"> 04-7137-7848</t>
        </is>
      </c>
      <c r="N113" s="16" t="inlineStr">
        <is>
          <t>148202040055</t>
        </is>
      </c>
      <c r="O113" s="8" t="inlineStr">
        <is>
          <t>Electronic organ toy</t>
        </is>
      </c>
      <c r="P113" s="8"/>
      <c r="Q113" s="8" t="inlineStr">
        <is>
          <t>365027493423</t>
        </is>
      </c>
      <c r="R113" s="8" t="inlineStr">
        <is>
          <t>滋賀県</t>
        </is>
      </c>
      <c r="S113" s="8" t="inlineStr">
        <is>
          <t>彦根市</t>
        </is>
      </c>
      <c r="T113" s="8" t="inlineStr">
        <is>
          <t>野田山町569-1 ゴールドパティー5 103</t>
        </is>
      </c>
      <c r="U113" s="8" t="inlineStr">
        <is>
          <t/>
        </is>
      </c>
      <c r="V113" s="8" t="inlineStr">
        <is>
          <t/>
        </is>
      </c>
      <c r="W113" s="8" t="inlineStr">
        <is>
          <t>千葉県</t>
        </is>
      </c>
      <c r="X113" s="8" t="inlineStr">
        <is>
          <t>流山市</t>
        </is>
      </c>
      <c r="Y113" s="8" t="inlineStr">
        <is>
          <t xml:space="preserve"> 平方 字下中谷806-1 GLP　ALFALINK8-1F　 13番</t>
        </is>
      </c>
    </row>
    <row r="114" customHeight="true" ht="33.05">
      <c r="A114" s="8" t="inlineStr">
        <is>
          <t>365027493666</t>
        </is>
      </c>
      <c r="B114" s="9" t="inlineStr">
        <is>
          <t>365027493666</t>
        </is>
      </c>
      <c r="C114" s="10"/>
      <c r="D114" s="8" t="n">
        <v>0.0</v>
      </c>
      <c r="E114" s="8" t="n">
        <v>1.0</v>
      </c>
      <c r="F114" s="11" t="inlineStr">
        <is>
          <t>高屋 梨花 [タカヤ リカ]</t>
        </is>
      </c>
      <c r="G114" s="8" t="n">
        <f>R114&amp;S114&amp;T114&amp;U114&amp;V114</f>
        <v>0.0</v>
      </c>
      <c r="H114" s="8" t="inlineStr">
        <is>
          <t>090-6994-3145</t>
        </is>
      </c>
      <c r="I114" s="8" t="inlineStr">
        <is>
          <t>078-8231</t>
        </is>
      </c>
      <c r="J114" s="8" t="inlineStr">
        <is>
          <t>金城楽天市場店</t>
        </is>
      </c>
      <c r="K114" s="8" t="n">
        <f>W114&amp;X114&amp;Y114</f>
        <v>0.0</v>
      </c>
      <c r="L114" s="8"/>
      <c r="M114" s="8" t="inlineStr">
        <is>
          <t xml:space="preserve"> 05030921748</t>
        </is>
      </c>
      <c r="N114" s="16" t="inlineStr">
        <is>
          <t>148202040055</t>
        </is>
      </c>
      <c r="O114" s="8" t="inlineStr">
        <is>
          <t>Toy</t>
        </is>
      </c>
      <c r="P114" s="8"/>
      <c r="Q114" s="8" t="inlineStr">
        <is>
          <t>365027493666</t>
        </is>
      </c>
      <c r="R114" s="8" t="inlineStr">
        <is>
          <t>北海道</t>
        </is>
      </c>
      <c r="S114" s="8" t="inlineStr">
        <is>
          <t>旭川市</t>
        </is>
      </c>
      <c r="T114" s="8" t="inlineStr">
        <is>
          <t>豊岡1条6丁目3-18</t>
        </is>
      </c>
      <c r="U114" s="8"/>
      <c r="V114" s="8"/>
      <c r="W114" s="8"/>
      <c r="X114" s="8"/>
      <c r="Y114" s="8" t="inlineStr">
        <is>
          <t xml:space="preserve"> 大阪府大阪市東住吉区住道矢田七丁目１０番１３号</t>
        </is>
      </c>
    </row>
    <row r="115" customHeight="true" ht="33.05">
      <c r="A115" s="8" t="inlineStr">
        <is>
          <t>365027493375</t>
        </is>
      </c>
      <c r="B115" s="9" t="inlineStr">
        <is>
          <t>365027493375</t>
        </is>
      </c>
      <c r="C115" s="10" t="n">
        <v>46004.0</v>
      </c>
      <c r="D115" s="8" t="n">
        <v>1.0</v>
      </c>
      <c r="E115" s="8" t="n">
        <v>1.0</v>
      </c>
      <c r="F115" s="11" t="inlineStr">
        <is>
          <t>廣瀬 みちる [ヒロセ ミチル]</t>
        </is>
      </c>
      <c r="G115" s="8" t="n">
        <f>R115&amp;S115&amp;T115&amp;U115&amp;V115</f>
        <v>0.0</v>
      </c>
      <c r="H115" s="8" t="inlineStr">
        <is>
          <t>080-6018-8209</t>
        </is>
      </c>
      <c r="I115" s="8" t="inlineStr">
        <is>
          <t>164-0011</t>
        </is>
      </c>
      <c r="J115" s="8" t="inlineStr">
        <is>
          <t>楽天-SUTAIRU-D</t>
        </is>
      </c>
      <c r="K115" s="8" t="n">
        <f>W115&amp;X115&amp;Y115</f>
        <v>0.0</v>
      </c>
      <c r="L115" s="8"/>
      <c r="M115" s="8" t="inlineStr">
        <is>
          <t xml:space="preserve"> 070-1432-7896</t>
        </is>
      </c>
      <c r="N115" s="16" t="inlineStr">
        <is>
          <t>148202040055</t>
        </is>
      </c>
      <c r="O115" s="8" t="inlineStr">
        <is>
          <t>Makeup Mirror</t>
        </is>
      </c>
      <c r="P115" s="8"/>
      <c r="Q115" s="8" t="inlineStr">
        <is>
          <t>365027493375</t>
        </is>
      </c>
      <c r="R115" s="8" t="inlineStr">
        <is>
          <t>東京都</t>
        </is>
      </c>
      <c r="S115" s="8" t="inlineStr">
        <is>
          <t>中野区</t>
        </is>
      </c>
      <c r="T115" s="8" t="inlineStr">
        <is>
          <t>中央4丁目53-4 ベルプラザ402（午前中お願い）</t>
        </is>
      </c>
      <c r="U115" s="8"/>
      <c r="V115" s="8"/>
      <c r="W115" s="8"/>
      <c r="X115" s="8"/>
      <c r="Y115" s="8" t="inlineStr">
        <is>
          <t xml:space="preserve"> 内本町2‐3‐8</t>
        </is>
      </c>
    </row>
    <row r="116" customHeight="true" ht="33.05">
      <c r="A116" s="8" t="inlineStr">
        <is>
          <t>365027493165</t>
        </is>
      </c>
      <c r="B116" s="9" t="inlineStr">
        <is>
          <t>365027493165</t>
        </is>
      </c>
      <c r="C116" s="10" t="n">
        <v>46010.0</v>
      </c>
      <c r="D116" s="8" t="n">
        <v>19.0</v>
      </c>
      <c r="E116" s="8" t="n">
        <v>1.0</v>
      </c>
      <c r="F116" s="11" t="inlineStr">
        <is>
          <t>杉本 紘史</t>
        </is>
      </c>
      <c r="G116" s="8" t="n">
        <f>R116&amp;S116&amp;T116&amp;U116&amp;V116</f>
        <v>0.0</v>
      </c>
      <c r="H116" s="8" t="inlineStr">
        <is>
          <t>0744-35-3895</t>
        </is>
      </c>
      <c r="I116" s="8" t="inlineStr">
        <is>
          <t>634-0805</t>
        </is>
      </c>
      <c r="J116" s="8" t="inlineStr">
        <is>
          <t>ラッキーストライク</t>
        </is>
      </c>
      <c r="K116" s="8" t="n">
        <f>W116&amp;X116&amp;Y116</f>
        <v>0.0</v>
      </c>
      <c r="L116" s="8"/>
      <c r="M116" s="8" t="inlineStr">
        <is>
          <t xml:space="preserve"> 05030911547</t>
        </is>
      </c>
      <c r="N116" s="16" t="inlineStr">
        <is>
          <t>148202040055</t>
        </is>
      </c>
      <c r="O116" s="8" t="inlineStr">
        <is>
          <t>Polishing paste</t>
        </is>
      </c>
      <c r="P116" s="8"/>
      <c r="Q116" s="8" t="inlineStr">
        <is>
          <t>365027493165</t>
        </is>
      </c>
      <c r="R116" s="8" t="inlineStr">
        <is>
          <t>奈良県</t>
        </is>
      </c>
      <c r="S116" s="8" t="inlineStr">
        <is>
          <t>橿原市</t>
        </is>
      </c>
      <c r="T116" s="8" t="inlineStr">
        <is>
          <t>地黄町82-31</t>
        </is>
      </c>
      <c r="U116" s="8"/>
      <c r="V116" s="8"/>
      <c r="W116" s="8"/>
      <c r="X116" s="8"/>
      <c r="Y116" s="8" t="inlineStr">
        <is>
          <t xml:space="preserve"> 東京都西多摩郡奥多摩町留浦１０１８</t>
        </is>
      </c>
    </row>
    <row r="117" customHeight="true" ht="33.05">
      <c r="A117" s="8" t="inlineStr">
        <is>
          <t>365027493014</t>
        </is>
      </c>
      <c r="B117" s="9" t="inlineStr">
        <is>
          <t>365027493014</t>
        </is>
      </c>
      <c r="C117" s="10" t="n">
        <v>46007.0</v>
      </c>
      <c r="D117" s="8" t="n">
        <v>0.0</v>
      </c>
      <c r="E117" s="8" t="n">
        <v>1.0</v>
      </c>
      <c r="F117" s="11" t="inlineStr">
        <is>
          <t>西間木 恵 [ニシマギ メグミ]</t>
        </is>
      </c>
      <c r="G117" s="8" t="n">
        <f>R117&amp;S117&amp;T117&amp;U117&amp;V117</f>
        <v>0.0</v>
      </c>
      <c r="H117" s="8" t="inlineStr">
        <is>
          <t>090-2526-1670</t>
        </is>
      </c>
      <c r="I117" s="8" t="inlineStr">
        <is>
          <t>324-0206</t>
        </is>
      </c>
      <c r="J117" s="8" t="inlineStr">
        <is>
          <t>楽天-OBSESSION-L</t>
        </is>
      </c>
      <c r="K117" s="8" t="n">
        <f>W117&amp;X117&amp;Y117</f>
        <v>0.0</v>
      </c>
      <c r="L117" s="8"/>
      <c r="M117" s="8" t="inlineStr">
        <is>
          <t xml:space="preserve"> 05036359867</t>
        </is>
      </c>
      <c r="N117" s="16" t="inlineStr">
        <is>
          <t>148202040055</t>
        </is>
      </c>
      <c r="O117" s="8" t="inlineStr">
        <is>
          <t>Fan</t>
        </is>
      </c>
      <c r="P117" s="8"/>
      <c r="Q117" s="8" t="inlineStr">
        <is>
          <t>365027493014</t>
        </is>
      </c>
      <c r="R117" s="8" t="inlineStr">
        <is>
          <t>栃木県</t>
        </is>
      </c>
      <c r="S117" s="8" t="inlineStr">
        <is>
          <t>大田原市</t>
        </is>
      </c>
      <c r="T117" s="8" t="inlineStr">
        <is>
          <t>中野内1879の3</t>
        </is>
      </c>
      <c r="U117" s="8"/>
      <c r="V117" s="8"/>
      <c r="W117" s="8"/>
      <c r="X117" s="8"/>
      <c r="Y117" s="8" t="inlineStr">
        <is>
          <t xml:space="preserve"> 西成区北津守４－１３－４３</t>
        </is>
      </c>
    </row>
    <row r="118" customHeight="true" ht="33.05">
      <c r="A118" s="8" t="inlineStr">
        <is>
          <t>365027493235</t>
        </is>
      </c>
      <c r="B118" s="9" t="inlineStr">
        <is>
          <t>365027493235</t>
        </is>
      </c>
      <c r="C118" s="10"/>
      <c r="D118" s="8" t="n">
        <v>0.0</v>
      </c>
      <c r="E118" s="8" t="n">
        <v>1.0</v>
      </c>
      <c r="F118" s="11" t="inlineStr">
        <is>
          <t>株式会社ナガワ つくば営業所</t>
        </is>
      </c>
      <c r="G118" s="8" t="n">
        <f>R118&amp;S118&amp;T118&amp;U118&amp;V118</f>
        <v>0.0</v>
      </c>
      <c r="H118" s="8" t="inlineStr">
        <is>
          <t>029-836-7502</t>
        </is>
      </c>
      <c r="I118" s="8" t="inlineStr">
        <is>
          <t>305-0868</t>
        </is>
      </c>
      <c r="J118" s="8" t="inlineStr">
        <is>
          <t>楽天-KAMCITY-L</t>
        </is>
      </c>
      <c r="K118" s="8" t="n">
        <f>W118&amp;X118&amp;Y118</f>
        <v>0.0</v>
      </c>
      <c r="L118" s="8"/>
      <c r="M118" s="8" t="inlineStr">
        <is>
          <t xml:space="preserve"> 070-1432-7896</t>
        </is>
      </c>
      <c r="N118" s="16" t="inlineStr">
        <is>
          <t>148202040055</t>
        </is>
      </c>
      <c r="O118" s="8" t="inlineStr">
        <is>
          <t>Outdoor Light</t>
        </is>
      </c>
      <c r="P118" s="8"/>
      <c r="Q118" s="8" t="inlineStr">
        <is>
          <t>365027493235</t>
        </is>
      </c>
      <c r="R118" s="8" t="inlineStr">
        <is>
          <t>茨城県</t>
        </is>
      </c>
      <c r="S118" s="8" t="inlineStr">
        <is>
          <t>つくば市</t>
        </is>
      </c>
      <c r="T118" s="8" t="inlineStr">
        <is>
          <t>台町1-9-1</t>
        </is>
      </c>
      <c r="U118" s="8"/>
      <c r="V118" s="8"/>
      <c r="W118" s="8"/>
      <c r="X118" s="8"/>
      <c r="Y118" s="8" t="inlineStr">
        <is>
          <t xml:space="preserve"> 内本町2‐3‐8</t>
        </is>
      </c>
    </row>
    <row r="119" customHeight="true" ht="33.05">
      <c r="A119" s="8" t="inlineStr">
        <is>
          <t>365027493471</t>
        </is>
      </c>
      <c r="B119" s="9" t="inlineStr">
        <is>
          <t>365027493471</t>
        </is>
      </c>
      <c r="C119" s="10"/>
      <c r="D119" s="8" t="n">
        <v>0.0</v>
      </c>
      <c r="E119" s="8" t="n">
        <v>1.0</v>
      </c>
      <c r="F119" s="11" t="inlineStr">
        <is>
          <t>松原 光雄 [マツバラ ミツオ]</t>
        </is>
      </c>
      <c r="G119" s="8" t="n">
        <f>R119&amp;S119&amp;T119&amp;U119&amp;V119</f>
        <v>0.0</v>
      </c>
      <c r="H119" s="8" t="inlineStr">
        <is>
          <t>090-3115-5260</t>
        </is>
      </c>
      <c r="I119" s="8" t="inlineStr">
        <is>
          <t>007-0829</t>
        </is>
      </c>
      <c r="J119" s="8" t="inlineStr">
        <is>
          <t>楽天-sepco</t>
        </is>
      </c>
      <c r="K119" s="8" t="n">
        <f>W119&amp;X119&amp;Y119</f>
        <v>0.0</v>
      </c>
      <c r="L119" s="8"/>
      <c r="M119" s="8" t="inlineStr">
        <is>
          <t xml:space="preserve"> 070-5589-7493</t>
        </is>
      </c>
      <c r="N119" s="16" t="inlineStr">
        <is>
          <t>148202040055</t>
        </is>
      </c>
      <c r="O119" s="8" t="inlineStr">
        <is>
          <t>COAT</t>
        </is>
      </c>
      <c r="P119" s="8"/>
      <c r="Q119" s="8" t="inlineStr">
        <is>
          <t>365027493471</t>
        </is>
      </c>
      <c r="R119" s="8" t="inlineStr">
        <is>
          <t>北海道</t>
        </is>
      </c>
      <c r="S119" s="8" t="inlineStr">
        <is>
          <t>札幌市東区</t>
        </is>
      </c>
      <c r="T119" s="8" t="inlineStr">
        <is>
          <t>東雁来九条2丁目11-18</t>
        </is>
      </c>
      <c r="U119" s="8"/>
      <c r="V119" s="8"/>
      <c r="W119" s="8"/>
      <c r="X119" s="8"/>
      <c r="Y119" s="8" t="inlineStr">
        <is>
          <t xml:space="preserve"> 中区大手町1-1-26-305大手町一番ビル</t>
        </is>
      </c>
    </row>
    <row r="120" customHeight="true" ht="33.05">
      <c r="A120" s="8" t="inlineStr">
        <is>
          <t>365027493003</t>
        </is>
      </c>
      <c r="B120" s="9" t="inlineStr">
        <is>
          <t>365027493003</t>
        </is>
      </c>
      <c r="C120" s="10" t="n">
        <v>46009.0</v>
      </c>
      <c r="D120" s="8" t="n">
        <v>12.0</v>
      </c>
      <c r="E120" s="8" t="n">
        <v>1.0</v>
      </c>
      <c r="F120" s="11" t="inlineStr">
        <is>
          <t>渡辺 琴美 [ワタナベ コトミ]</t>
        </is>
      </c>
      <c r="G120" s="8" t="n">
        <f>R120&amp;S120&amp;T120&amp;U120&amp;V120</f>
        <v>0.0</v>
      </c>
      <c r="H120" s="8" t="inlineStr">
        <is>
          <t>090-6903-6070</t>
        </is>
      </c>
      <c r="I120" s="8" t="inlineStr">
        <is>
          <t>692-0012</t>
        </is>
      </c>
      <c r="J120" s="8" t="inlineStr">
        <is>
          <t>楽天-OBSESSION-L</t>
        </is>
      </c>
      <c r="K120" s="8" t="n">
        <f>W120&amp;X120&amp;Y120</f>
        <v>0.0</v>
      </c>
      <c r="L120" s="8"/>
      <c r="M120" s="8" t="inlineStr">
        <is>
          <t xml:space="preserve"> 05036359867</t>
        </is>
      </c>
      <c r="N120" s="16" t="inlineStr">
        <is>
          <t>148202040055</t>
        </is>
      </c>
      <c r="O120" s="8" t="inlineStr">
        <is>
          <t>Fan</t>
        </is>
      </c>
      <c r="P120" s="8"/>
      <c r="Q120" s="8" t="inlineStr">
        <is>
          <t>365027493003</t>
        </is>
      </c>
      <c r="R120" s="8" t="inlineStr">
        <is>
          <t>島根県</t>
        </is>
      </c>
      <c r="S120" s="8" t="inlineStr">
        <is>
          <t>安来市</t>
        </is>
      </c>
      <c r="T120" s="8" t="inlineStr">
        <is>
          <t>宮内町318番地7</t>
        </is>
      </c>
      <c r="U120" s="8"/>
      <c r="V120" s="8"/>
      <c r="W120" s="8"/>
      <c r="X120" s="8"/>
      <c r="Y120" s="8" t="inlineStr">
        <is>
          <t xml:space="preserve"> 西成区北津守４－１３－４３</t>
        </is>
      </c>
    </row>
    <row r="121" customHeight="true" ht="33.05">
      <c r="A121" s="8" t="inlineStr">
        <is>
          <t>365027492756</t>
        </is>
      </c>
      <c r="B121" s="9" t="inlineStr">
        <is>
          <t>365027492756</t>
        </is>
      </c>
      <c r="C121" s="10"/>
      <c r="D121" s="8" t="n">
        <v>19.0</v>
      </c>
      <c r="E121" s="8" t="n">
        <v>1.0</v>
      </c>
      <c r="F121" s="11" t="inlineStr">
        <is>
          <t>合志 崇</t>
        </is>
      </c>
      <c r="G121" s="8" t="n">
        <f>R121&amp;S121&amp;T121&amp;U121&amp;V121</f>
        <v>0.0</v>
      </c>
      <c r="H121" s="8" t="inlineStr">
        <is>
          <t>080-9861-4568</t>
        </is>
      </c>
      <c r="I121" s="8" t="inlineStr">
        <is>
          <t>208-0031</t>
        </is>
      </c>
      <c r="J121" s="8" t="inlineStr">
        <is>
          <t>UT.village</t>
        </is>
      </c>
      <c r="K121" s="8" t="n">
        <f>W121&amp;X121&amp;Y121</f>
        <v>0.0</v>
      </c>
      <c r="L121" s="8"/>
      <c r="M121" s="8" t="inlineStr">
        <is>
          <t xml:space="preserve"> 05030979484</t>
        </is>
      </c>
      <c r="N121" s="16" t="inlineStr">
        <is>
          <t>148202040055</t>
        </is>
      </c>
      <c r="O121" s="8" t="inlineStr">
        <is>
          <t>Acrylic display stand</t>
        </is>
      </c>
      <c r="P121" s="8"/>
      <c r="Q121" s="8" t="inlineStr">
        <is>
          <t>365027492756</t>
        </is>
      </c>
      <c r="R121" s="8" t="inlineStr">
        <is>
          <t>東京都</t>
        </is>
      </c>
      <c r="S121" s="8" t="inlineStr">
        <is>
          <t>武蔵村山市</t>
        </is>
      </c>
      <c r="T121" s="8" t="inlineStr">
        <is>
          <t>岸 3-22-10 昭和コーポ武蔵村山1 101号室</t>
        </is>
      </c>
      <c r="U121" s="8"/>
      <c r="V121" s="8"/>
      <c r="W121" s="8"/>
      <c r="X121" s="8"/>
      <c r="Y121" s="8" t="inlineStr">
        <is>
          <t xml:space="preserve"> 神奈川県川崎市高津区下作延２－２２－５クレイノアクアパレス２０５</t>
        </is>
      </c>
    </row>
    <row r="122" customHeight="true" ht="33.05">
      <c r="A122" s="8" t="inlineStr">
        <is>
          <t>365027491544</t>
        </is>
      </c>
      <c r="B122" s="9" t="inlineStr">
        <is>
          <t>365027491544</t>
        </is>
      </c>
      <c r="C122" s="10" t="n">
        <v>46007.0</v>
      </c>
      <c r="D122" s="8" t="n">
        <v>1.0</v>
      </c>
      <c r="E122" s="8" t="n">
        <v>1.0</v>
      </c>
      <c r="F122" s="11" t="inlineStr">
        <is>
          <t>有原 優 [アリハラ ユウ]</t>
        </is>
      </c>
      <c r="G122" s="8" t="n">
        <f>R122&amp;S122&amp;T122&amp;U122&amp;V122</f>
        <v>0.0</v>
      </c>
      <c r="H122" s="8" t="inlineStr">
        <is>
          <t>080-4177-0142</t>
        </is>
      </c>
      <c r="I122" s="8" t="inlineStr">
        <is>
          <t>300-2359</t>
        </is>
      </c>
      <c r="J122" s="8" t="inlineStr">
        <is>
          <t>楽天-OBSESSION-L</t>
        </is>
      </c>
      <c r="K122" s="8" t="n">
        <f>W122&amp;X122&amp;Y122</f>
        <v>0.0</v>
      </c>
      <c r="L122" s="8"/>
      <c r="M122" s="8" t="inlineStr">
        <is>
          <t xml:space="preserve"> 05036359867</t>
        </is>
      </c>
      <c r="N122" s="16" t="inlineStr">
        <is>
          <t>148202040055</t>
        </is>
      </c>
      <c r="O122" s="8" t="inlineStr">
        <is>
          <t>notepad</t>
        </is>
      </c>
      <c r="P122" s="8"/>
      <c r="Q122" s="8" t="inlineStr">
        <is>
          <t>365027491544</t>
        </is>
      </c>
      <c r="R122" s="8" t="inlineStr">
        <is>
          <t>茨城県</t>
        </is>
      </c>
      <c r="S122" s="8" t="inlineStr">
        <is>
          <t>つくばみらい市</t>
        </is>
      </c>
      <c r="T122" s="8" t="inlineStr">
        <is>
          <t>紫峰ヶ丘5-14-2</t>
        </is>
      </c>
      <c r="U122" s="8"/>
      <c r="V122" s="8"/>
      <c r="W122" s="8"/>
      <c r="X122" s="8"/>
      <c r="Y122" s="8" t="inlineStr">
        <is>
          <t xml:space="preserve"> 西成区北津守４－１３－４３</t>
        </is>
      </c>
    </row>
    <row r="123" customHeight="true" ht="33.05">
      <c r="A123" s="8" t="inlineStr">
        <is>
          <t>365008241776</t>
        </is>
      </c>
      <c r="B123" s="9" t="inlineStr">
        <is>
          <t>365008241776</t>
        </is>
      </c>
      <c r="C123" s="10"/>
      <c r="D123" s="8" t="n">
        <v>0.0</v>
      </c>
      <c r="E123" s="8" t="n">
        <v>1.0</v>
      </c>
      <c r="F123" s="11" t="inlineStr">
        <is>
          <t>佐藤ひなた</t>
        </is>
      </c>
      <c r="G123" s="8" t="n">
        <f>R123&amp;S123&amp;T123&amp;U123&amp;V123</f>
        <v>0.0</v>
      </c>
      <c r="H123" s="8" t="inlineStr">
        <is>
          <t>090-8258-2793</t>
        </is>
      </c>
      <c r="I123" s="8" t="inlineStr">
        <is>
          <t>162-0041</t>
        </is>
      </c>
      <c r="J123" s="8"/>
      <c r="K123" s="8" t="n">
        <f>W123&amp;X123&amp;Y123</f>
        <v>0.0</v>
      </c>
      <c r="L123" s="8"/>
      <c r="M123" s="8" t="inlineStr">
        <is>
          <t xml:space="preserve"> </t>
        </is>
      </c>
      <c r="N123" s="16" t="inlineStr">
        <is>
          <t>148202040055</t>
        </is>
      </c>
      <c r="O123" s="8" t="inlineStr">
        <is>
          <t>Eyelash curler</t>
        </is>
      </c>
      <c r="P123" s="8"/>
      <c r="Q123" s="8" t="inlineStr">
        <is>
          <t>365008241776</t>
        </is>
      </c>
      <c r="R123" s="8"/>
      <c r="S123" s="8"/>
      <c r="T123" s="8" t="inlineStr">
        <is>
          <t>東京都新宿区早稲田鶴巻町112 ReveResidence早稲田203号室</t>
        </is>
      </c>
      <c r="U123" s="8"/>
      <c r="V123" s="8"/>
      <c r="W123" s="8"/>
      <c r="X123" s="8"/>
      <c r="Y123" s="8" t="inlineStr">
        <is>
          <t xml:space="preserve"> </t>
        </is>
      </c>
    </row>
    <row r="124" customHeight="true" ht="33.05">
      <c r="A124" s="8" t="inlineStr">
        <is>
          <t>365008241765</t>
        </is>
      </c>
      <c r="B124" s="9" t="inlineStr">
        <is>
          <t>365008241765</t>
        </is>
      </c>
      <c r="C124" s="10"/>
      <c r="D124" s="8" t="n">
        <v>0.0</v>
      </c>
      <c r="E124" s="8" t="n">
        <v>1.0</v>
      </c>
      <c r="F124" s="11" t="inlineStr">
        <is>
          <t>田中 アイ子</t>
        </is>
      </c>
      <c r="G124" s="8" t="n">
        <f>R124&amp;S124&amp;T124&amp;U124&amp;V124</f>
        <v>0.0</v>
      </c>
      <c r="H124" s="8" t="inlineStr">
        <is>
          <t>080-5527-0030</t>
        </is>
      </c>
      <c r="I124" s="8" t="inlineStr">
        <is>
          <t>420-0911</t>
        </is>
      </c>
      <c r="J124" s="8"/>
      <c r="K124" s="8" t="n">
        <f>W124&amp;X124&amp;Y124</f>
        <v>0.0</v>
      </c>
      <c r="L124" s="8"/>
      <c r="M124" s="8" t="inlineStr">
        <is>
          <t xml:space="preserve"> </t>
        </is>
      </c>
      <c r="N124" s="16" t="inlineStr">
        <is>
          <t>148202040055</t>
        </is>
      </c>
      <c r="O124" s="8" t="inlineStr">
        <is>
          <t>Eyelash curler</t>
        </is>
      </c>
      <c r="P124" s="8"/>
      <c r="Q124" s="8" t="inlineStr">
        <is>
          <t>365008241765</t>
        </is>
      </c>
      <c r="R124" s="8"/>
      <c r="S124" s="8"/>
      <c r="T124" s="8" t="inlineStr">
        <is>
          <t>静岡県静岡市葵区瀬名7-4-11</t>
        </is>
      </c>
      <c r="U124" s="8"/>
      <c r="V124" s="8"/>
      <c r="W124" s="8"/>
      <c r="X124" s="8"/>
      <c r="Y124" s="8" t="inlineStr">
        <is>
          <t xml:space="preserve"> </t>
        </is>
      </c>
    </row>
    <row r="125" customHeight="true" ht="33.05">
      <c r="A125" s="8" t="inlineStr">
        <is>
          <t>365008241780</t>
        </is>
      </c>
      <c r="B125" s="9" t="inlineStr">
        <is>
          <t>365008241780</t>
        </is>
      </c>
      <c r="C125" s="10"/>
      <c r="D125" s="8" t="n">
        <v>0.0</v>
      </c>
      <c r="E125" s="8" t="n">
        <v>1.0</v>
      </c>
      <c r="F125" s="11" t="inlineStr">
        <is>
          <t>田口みう</t>
        </is>
      </c>
      <c r="G125" s="8" t="n">
        <f>R125&amp;S125&amp;T125&amp;U125&amp;V125</f>
        <v>0.0</v>
      </c>
      <c r="H125" s="8" t="inlineStr">
        <is>
          <t>080-9074-9464</t>
        </is>
      </c>
      <c r="I125" s="8" t="inlineStr">
        <is>
          <t>027-0096</t>
        </is>
      </c>
      <c r="J125" s="8"/>
      <c r="K125" s="8" t="n">
        <f>W125&amp;X125&amp;Y125</f>
        <v>0.0</v>
      </c>
      <c r="L125" s="8"/>
      <c r="M125" s="8" t="inlineStr">
        <is>
          <t xml:space="preserve"> </t>
        </is>
      </c>
      <c r="N125" s="16" t="inlineStr">
        <is>
          <t>148202040055</t>
        </is>
      </c>
      <c r="O125" s="8" t="inlineStr">
        <is>
          <t>Eyelash curler</t>
        </is>
      </c>
      <c r="P125" s="8"/>
      <c r="Q125" s="8" t="inlineStr">
        <is>
          <t>365008241780</t>
        </is>
      </c>
      <c r="R125" s="8"/>
      <c r="S125" s="8"/>
      <c r="T125" s="8" t="inlineStr">
        <is>
          <t>岩手県宮古市崎鍬ケ崎第４地割１−１３はまなす寮</t>
        </is>
      </c>
      <c r="U125" s="8"/>
      <c r="V125" s="8"/>
      <c r="W125" s="8"/>
      <c r="X125" s="8"/>
      <c r="Y125" s="8" t="inlineStr">
        <is>
          <t xml:space="preserve"> </t>
        </is>
      </c>
    </row>
    <row r="126" customHeight="true" ht="33.05">
      <c r="B126" s="12"/>
      <c r="F126" s="13"/>
    </row>
    <row r="127" customHeight="true" ht="33.05">
      <c r="B127" s="12"/>
      <c r="F127" s="13"/>
    </row>
    <row r="128" customHeight="true" ht="33.05">
      <c r="B128" s="12"/>
      <c r="F128" s="13"/>
    </row>
  </sheetData>
  <printOptions verticalCentered="false"/>
  <pageMargins bottom="0.75" footer="0.31496062992126" header="0.31496062992126" left="0.7" right="0.7" top="0.75"/>
  <pageSetup copies="1" draft="false" fitToHeight="1" fitToWidth="1" horizontalDpi="600" orientation="landscape" pageOrder="downThenOver" blackAndWhite="false" firstPageNumber="1" paperSize="8" scale="17" useFirstPageNumber="false" usePrinterDefaults="true" verticalDpi="6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Speedy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2012-01-20T20:05:00Z</dcterms:created>
  <dc:creator>ZCE</dc:creator>
  <cp:lastModifiedBy>Administrator</cp:lastModifiedBy>
  <cp:lastPrinted>2019-01-29T12:39:00Z</cp:lastPrinted>
  <dcterms:modified xsi:type="dcterms:W3CDTF">2025-04-19T08:58:36Z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AFF04CDBC69A41CA98E773CA8A21A4B9_13</vt:lpwstr>
  </property>
  <property fmtid="{D5CDD505-2E9C-101B-9397-08002B2CF9AE}" pid="3" name="KSOProductBuildVer">
    <vt:lpwstr>2052-12.1.0.20784</vt:lpwstr>
  </property>
</Properties>
</file>