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589"/>
  </bookViews>
  <sheets>
    <sheet name="Speedy" sheetId="2" r:id="rId1"/>
  </sheets>
  <definedNames>
    <definedName name="_xlnm._FilterDatabase" localSheetId="0" hidden="1">Speedy!$A$1:$Y$125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<sst xmlns="http://schemas.openxmlformats.org/spreadsheetml/2006/main" count="1693" uniqueCount="890">
  <si>
    <t>お客様管理番号</t>
  </si>
  <si>
    <t>佐川問合せ番号HAWB</t>
  </si>
  <si>
    <t>配達指定日</t>
  </si>
  <si>
    <t>時間帯指定</t>
  </si>
  <si>
    <t>貨物個数</t>
  </si>
  <si>
    <t>お届け先人名</t>
  </si>
  <si>
    <t>お届け先住所</t>
  </si>
  <si>
    <t>お届け先電話</t>
  </si>
  <si>
    <t>お届け先郵便</t>
  </si>
  <si>
    <t>依頼主</t>
  </si>
  <si>
    <t>依頼主住所</t>
  </si>
  <si>
    <t>依頼主郵便番号</t>
  </si>
  <si>
    <t>依頼主電話</t>
  </si>
  <si>
    <t>佐川顧客コード（固定）</t>
  </si>
  <si>
    <t>記事欄2（品名）</t>
  </si>
  <si>
    <t>記事欄2</t>
  </si>
  <si>
    <t>記事欄3</t>
  </si>
  <si>
    <t>收件人省州（删）</t>
  </si>
  <si>
    <t>收件人城市（删）</t>
  </si>
  <si>
    <t>收件人地址1（删）</t>
  </si>
  <si>
    <t>收件人地址2（删）</t>
  </si>
  <si>
    <t>收件人地址3（删）</t>
  </si>
  <si>
    <t>发货省（删）</t>
  </si>
  <si>
    <t>发货市（删）</t>
  </si>
  <si>
    <t>发货地址（删）</t>
  </si>
  <si>
    <t>365027493316</t>
  </si>
  <si>
    <t>堀 裕子 [ホリ ユウコ]</t>
  </si>
  <si>
    <t>090-4935-4241</t>
  </si>
  <si>
    <t>182-0001</t>
  </si>
  <si>
    <t>楽天-和心-H</t>
  </si>
  <si>
    <t xml:space="preserve"> 05030919965</t>
  </si>
  <si>
    <t>148202040055</t>
  </si>
  <si>
    <t>Shaking table ware</t>
  </si>
  <si>
    <t>東京都</t>
  </si>
  <si>
    <t>調布市</t>
  </si>
  <si>
    <t>緑ケ丘1-7-6（宅配ボックス希望）</t>
  </si>
  <si>
    <t xml:space="preserve"> 東京都稲城市平尾１－１４－１７</t>
  </si>
  <si>
    <t>365027491426</t>
  </si>
  <si>
    <t>高橋 亜衣美</t>
  </si>
  <si>
    <t>090-9920-0455</t>
  </si>
  <si>
    <t>513-1124</t>
  </si>
  <si>
    <t>株式会社ｇｏｌｄ　ｒｏｏｆ</t>
  </si>
  <si>
    <t xml:space="preserve"> 05031541189</t>
  </si>
  <si>
    <t>Airplane toy</t>
  </si>
  <si>
    <t>三重県</t>
  </si>
  <si>
    <t>鈴鹿市</t>
  </si>
  <si>
    <t>自由ヶ丘4丁目10ー25</t>
  </si>
  <si>
    <t/>
  </si>
  <si>
    <t>新宿区</t>
  </si>
  <si>
    <t xml:space="preserve"> 新宿３－７－９</t>
  </si>
  <si>
    <t>365027468912</t>
  </si>
  <si>
    <t>溝川　康之</t>
  </si>
  <si>
    <t>08064064944</t>
  </si>
  <si>
    <t>899-7104</t>
  </si>
  <si>
    <t xml:space="preserve"> </t>
  </si>
  <si>
    <t>Laser Level</t>
  </si>
  <si>
    <t>志布志市志布志町安楽 1969 株式会社　溝川工業 鹿児島県</t>
  </si>
  <si>
    <t>365027491511</t>
  </si>
  <si>
    <t>池上 千夏</t>
  </si>
  <si>
    <t>045-984-0646</t>
  </si>
  <si>
    <t>227-0063</t>
  </si>
  <si>
    <t>深圳市金斯达实业有限公司</t>
  </si>
  <si>
    <t xml:space="preserve"> 04-7137-7848</t>
  </si>
  <si>
    <t>Plastic toys</t>
  </si>
  <si>
    <t>神奈川県</t>
  </si>
  <si>
    <t>横浜市青葉区</t>
  </si>
  <si>
    <t>榎が丘25-1ドレッセ青葉台プレエスタ111</t>
  </si>
  <si>
    <t>None</t>
  </si>
  <si>
    <t>GuangDong</t>
  </si>
  <si>
    <t xml:space="preserve"> 龙华区梅坂路民乐科技大厦211室</t>
  </si>
  <si>
    <t>365027492690</t>
  </si>
  <si>
    <t>松村 光博</t>
  </si>
  <si>
    <t>090-2694-3372</t>
  </si>
  <si>
    <t>069-1343</t>
  </si>
  <si>
    <t>JETMILLIO楽天市場店</t>
  </si>
  <si>
    <t xml:space="preserve"> 050-3181-9787</t>
  </si>
  <si>
    <t>LED lights</t>
  </si>
  <si>
    <t>北海道</t>
  </si>
  <si>
    <t>夕張郡長沼町</t>
  </si>
  <si>
    <t>旭町北1丁目3ー17</t>
  </si>
  <si>
    <t xml:space="preserve"> 東京都大田区上池台３－２４－１４スターハイツ洗足池２　２０２</t>
  </si>
  <si>
    <t>365027493283</t>
  </si>
  <si>
    <t>目片 まゆみ</t>
  </si>
  <si>
    <t>0748-60-4005</t>
  </si>
  <si>
    <t>529-1804</t>
  </si>
  <si>
    <t>I.M.P楽天市場店</t>
  </si>
  <si>
    <t xml:space="preserve"> 050-3092-1704</t>
  </si>
  <si>
    <t>Plastic corner protectors</t>
  </si>
  <si>
    <t>滋賀県</t>
  </si>
  <si>
    <t>甲賀市</t>
  </si>
  <si>
    <t>信楽町勅旨1993 ギャラリーきりん</t>
  </si>
  <si>
    <t xml:space="preserve"> 滋賀県甲賀市甲南町野尻558</t>
  </si>
  <si>
    <t>365027492966</t>
  </si>
  <si>
    <t>株式会社 東海カンパニー</t>
  </si>
  <si>
    <t>0565-24-4111</t>
  </si>
  <si>
    <t>473-0908</t>
  </si>
  <si>
    <t>clothes</t>
  </si>
  <si>
    <t>愛知県</t>
  </si>
  <si>
    <t>豊田市</t>
  </si>
  <si>
    <t>宝町東田25番地</t>
  </si>
  <si>
    <t>365027492793</t>
  </si>
  <si>
    <t>廣岡 美鈴</t>
  </si>
  <si>
    <t>090-5056-3784</t>
  </si>
  <si>
    <t>620-0342</t>
  </si>
  <si>
    <t>UT.village</t>
  </si>
  <si>
    <t xml:space="preserve"> 05030979484</t>
  </si>
  <si>
    <t>DIY Tools,Waterproof coating</t>
  </si>
  <si>
    <t>京都府</t>
  </si>
  <si>
    <t>福知山市</t>
  </si>
  <si>
    <t>大江町南有路1208</t>
  </si>
  <si>
    <t xml:space="preserve"> 神奈川県川崎市高津区下作延２－２２－５クレイノアクアパレス２０５</t>
  </si>
  <si>
    <t>365027492874</t>
  </si>
  <si>
    <t>佐藤 蛍</t>
  </si>
  <si>
    <t>080-1872-0576</t>
  </si>
  <si>
    <t>041-1603</t>
  </si>
  <si>
    <t>Jewelry Box</t>
  </si>
  <si>
    <t>函館市</t>
  </si>
  <si>
    <t>尾札部町1945-3</t>
  </si>
  <si>
    <t>365027493320</t>
  </si>
  <si>
    <t>阪ノ下 芽美 [サカノシタ メイミ]</t>
  </si>
  <si>
    <t>080-4313-6793</t>
  </si>
  <si>
    <t>227-0054</t>
  </si>
  <si>
    <t>楽天-ヤナストア</t>
  </si>
  <si>
    <t xml:space="preserve"> 0671670298</t>
  </si>
  <si>
    <t>lamp</t>
  </si>
  <si>
    <t>横浜市青葉区しらとり台</t>
  </si>
  <si>
    <t>62-1 Novem しらとり台 9</t>
  </si>
  <si>
    <t xml:space="preserve"> 上野芝町2－5－1－５０７</t>
  </si>
  <si>
    <t>365027493213</t>
  </si>
  <si>
    <t>株式会社 カラオケエンタテイメント [カブシキガイシャ カラオケエンタテイメント]</t>
  </si>
  <si>
    <t>03-3291-1295</t>
  </si>
  <si>
    <t>101-0051</t>
  </si>
  <si>
    <t>楽天-eightyone-H</t>
  </si>
  <si>
    <t xml:space="preserve"> 036-161-6083</t>
  </si>
  <si>
    <t>千代田区</t>
  </si>
  <si>
    <t>神田神保町1-2</t>
  </si>
  <si>
    <t xml:space="preserve"> 東京都品川区平塚1-13-1</t>
  </si>
  <si>
    <t>365027493773</t>
  </si>
  <si>
    <t>野村 京</t>
  </si>
  <si>
    <t>03-5937-0883</t>
  </si>
  <si>
    <t>160-0023</t>
  </si>
  <si>
    <t>Storage Box</t>
  </si>
  <si>
    <t>東京都新宿区西新宿7丁目1-12　 Crossoffice新宿705</t>
  </si>
  <si>
    <t>365027493261</t>
  </si>
  <si>
    <t>生頼 悦子</t>
  </si>
  <si>
    <t>08010978274</t>
  </si>
  <si>
    <t>225-0022</t>
  </si>
  <si>
    <t>鯨山-kingyama</t>
  </si>
  <si>
    <t xml:space="preserve"> 050-5856-0970</t>
  </si>
  <si>
    <t>Solar outdoor lamp</t>
  </si>
  <si>
    <t>黒須田31-52</t>
  </si>
  <si>
    <t xml:space="preserve"> 大阪市西成区3丁目5番14号FDS ENISHI303</t>
  </si>
  <si>
    <t>365027493563</t>
  </si>
  <si>
    <t>片岡 優介</t>
  </si>
  <si>
    <t>090-1984-6867</t>
  </si>
  <si>
    <t>428-0009</t>
  </si>
  <si>
    <t xml:space="preserve"> 08085450013</t>
  </si>
  <si>
    <t>armrest box</t>
  </si>
  <si>
    <t>静岡県</t>
  </si>
  <si>
    <t>島田市</t>
  </si>
  <si>
    <t>大代1649番地の1</t>
  </si>
  <si>
    <t>大阪府</t>
  </si>
  <si>
    <t>堺市</t>
  </si>
  <si>
    <t xml:space="preserve"> 中百舌鳥町6丁目１００１-5盲亀浮木の店</t>
  </si>
  <si>
    <t>365027492830</t>
  </si>
  <si>
    <t>八木 和佳</t>
  </si>
  <si>
    <t>090-8111-6263</t>
  </si>
  <si>
    <t>370-0343</t>
  </si>
  <si>
    <t>Cup</t>
  </si>
  <si>
    <t>群馬県</t>
  </si>
  <si>
    <t>太田市09081116263</t>
  </si>
  <si>
    <t>新田下田中町373-1 東亜工業株式会社 住宅事業部 業務部 業務課 八木和佳宛</t>
  </si>
  <si>
    <t>365027492900</t>
  </si>
  <si>
    <t>大倉 美紅</t>
  </si>
  <si>
    <t>090-3877-0039</t>
  </si>
  <si>
    <t>739-0024</t>
  </si>
  <si>
    <t>baking mold</t>
  </si>
  <si>
    <t>広島県</t>
  </si>
  <si>
    <t>東広島市</t>
  </si>
  <si>
    <t>西条町御薗宇5288-1 ロンディネA204</t>
  </si>
  <si>
    <t>365027492863</t>
  </si>
  <si>
    <t>松谷 史子</t>
  </si>
  <si>
    <t>011-531-5710</t>
  </si>
  <si>
    <t>064-0914</t>
  </si>
  <si>
    <t>FINTRUE</t>
  </si>
  <si>
    <t xml:space="preserve"> 05058401648</t>
  </si>
  <si>
    <t>Cleaning supplies</t>
  </si>
  <si>
    <t>札幌市中央区</t>
  </si>
  <si>
    <t>南十四条西18丁目5-27 グランエスセーナ701</t>
  </si>
  <si>
    <t xml:space="preserve"> 大阪府大阪市中央区安堂寺町2-1-3-901</t>
  </si>
  <si>
    <t>365027492686</t>
  </si>
  <si>
    <t>奥山 学</t>
  </si>
  <si>
    <t>018-807-0155</t>
  </si>
  <si>
    <t>010-0043</t>
  </si>
  <si>
    <t>ジョシュミル</t>
  </si>
  <si>
    <t>pet anti-scratch spray</t>
  </si>
  <si>
    <t>秋田県</t>
  </si>
  <si>
    <t>秋田市</t>
  </si>
  <si>
    <t>桜ガ丘3丁目7-15</t>
  </si>
  <si>
    <t xml:space="preserve"> 山形県山形市上町２－９－５</t>
  </si>
  <si>
    <t>365027492815</t>
  </si>
  <si>
    <t>戸高 太輔</t>
  </si>
  <si>
    <t>053-489-3354</t>
  </si>
  <si>
    <t>431-0103</t>
  </si>
  <si>
    <t>Toys</t>
  </si>
  <si>
    <t>浜松市中央区</t>
  </si>
  <si>
    <t>雄踏1丁目7-20</t>
  </si>
  <si>
    <t>365027492911</t>
  </si>
  <si>
    <t>塩屋 歩</t>
  </si>
  <si>
    <t>090-2060-5608</t>
  </si>
  <si>
    <t>545-0043</t>
  </si>
  <si>
    <t>Beach toys</t>
  </si>
  <si>
    <t>大阪市阿倍野区</t>
  </si>
  <si>
    <t>松虫通2-4-4</t>
  </si>
  <si>
    <t>365027492826</t>
  </si>
  <si>
    <t>上久保 嘉裕</t>
  </si>
  <si>
    <t>04-2964-5467</t>
  </si>
  <si>
    <t>358-0031</t>
  </si>
  <si>
    <t>Cleaning products</t>
  </si>
  <si>
    <t>埼玉県</t>
  </si>
  <si>
    <t>入間市</t>
  </si>
  <si>
    <t>新久936-14</t>
  </si>
  <si>
    <t>365027493250</t>
  </si>
  <si>
    <t>山崎 亜矢子</t>
  </si>
  <si>
    <t>090-2691-4664</t>
  </si>
  <si>
    <t>086-1021</t>
  </si>
  <si>
    <t>ラッキーストライク</t>
  </si>
  <si>
    <t xml:space="preserve"> 05030911547</t>
  </si>
  <si>
    <t>Christmas hat</t>
  </si>
  <si>
    <t>標津郡中標津町</t>
  </si>
  <si>
    <t>東21条南9丁目10番地17</t>
  </si>
  <si>
    <t xml:space="preserve"> 東京都西多摩郡奥多摩町留浦１０１８</t>
  </si>
  <si>
    <t>365027492782</t>
  </si>
  <si>
    <t>梶原</t>
  </si>
  <si>
    <t>090-2311-6018</t>
  </si>
  <si>
    <t>060-0062</t>
  </si>
  <si>
    <t>Storage tray</t>
  </si>
  <si>
    <t>南二条西6-5-3住友狸小路プラザハウス1階せいす</t>
  </si>
  <si>
    <t>365027493246</t>
  </si>
  <si>
    <t>和田 開</t>
  </si>
  <si>
    <t>090-3265-5077</t>
  </si>
  <si>
    <t>170-0013</t>
  </si>
  <si>
    <t>Cleaning agents</t>
  </si>
  <si>
    <t>豊島区</t>
  </si>
  <si>
    <t>東池袋5丁目8-5 602号</t>
  </si>
  <si>
    <t>365027492933</t>
  </si>
  <si>
    <t>木村寿範</t>
  </si>
  <si>
    <t>0191-23-3182</t>
  </si>
  <si>
    <t>021-0852</t>
  </si>
  <si>
    <t>Cut-resistant gloves</t>
  </si>
  <si>
    <t>岩手県</t>
  </si>
  <si>
    <t>一関市</t>
  </si>
  <si>
    <t>沢297-14村上商会</t>
  </si>
  <si>
    <t>365027470986</t>
  </si>
  <si>
    <t>加賀田 宙佑</t>
  </si>
  <si>
    <t>08077415894</t>
  </si>
  <si>
    <t>212-0007</t>
  </si>
  <si>
    <t>plastic toys</t>
  </si>
  <si>
    <t>神奈川県川崎市幸区河原町 河原町団地13号棟223番</t>
  </si>
  <si>
    <t>365027493806</t>
  </si>
  <si>
    <t>phone case</t>
  </si>
  <si>
    <t>365027492852</t>
  </si>
  <si>
    <t>大久保 昌代</t>
  </si>
  <si>
    <t>042-313-8895</t>
  </si>
  <si>
    <t>183-0026</t>
  </si>
  <si>
    <t>Toy</t>
  </si>
  <si>
    <t>府中市</t>
  </si>
  <si>
    <t>南町1-47-1シルキーパレス103</t>
  </si>
  <si>
    <t>365027493596</t>
  </si>
  <si>
    <t>御園 幸江</t>
  </si>
  <si>
    <t>090-8374-1389</t>
  </si>
  <si>
    <t>085-0805</t>
  </si>
  <si>
    <t>earphones</t>
  </si>
  <si>
    <t>釧路市</t>
  </si>
  <si>
    <t>桜ケ岡7-7-7</t>
  </si>
  <si>
    <t>365027469273</t>
  </si>
  <si>
    <t>前田　裕香</t>
  </si>
  <si>
    <t>090-9129-8719</t>
  </si>
  <si>
    <t>486-0833</t>
  </si>
  <si>
    <t>Neck Massager</t>
  </si>
  <si>
    <t>愛知県 春日井市 上条町3-24-2-9C</t>
  </si>
  <si>
    <t>365027472121</t>
  </si>
  <si>
    <t>相馬 周</t>
  </si>
  <si>
    <t>07028250406</t>
  </si>
  <si>
    <t>030-0962</t>
  </si>
  <si>
    <t>青森県青森市 茶屋町4-14</t>
  </si>
  <si>
    <t>365027493644</t>
  </si>
  <si>
    <t>福田 真弓 [フクダ マユミ]</t>
  </si>
  <si>
    <t>080-9830-6753</t>
  </si>
  <si>
    <t>062-0921</t>
  </si>
  <si>
    <t>楽天-Rumay-D</t>
  </si>
  <si>
    <t xml:space="preserve"> 072-703-4761</t>
  </si>
  <si>
    <t>Eye Protector</t>
  </si>
  <si>
    <t>札幌市豊平区</t>
  </si>
  <si>
    <t>中の島一条4丁目2-16 Tiberina中の島401</t>
  </si>
  <si>
    <t xml:space="preserve"> 中央区内本町2‐3‐8　ダイアパレスビル本町 1006ミズイシテクノロジー</t>
  </si>
  <si>
    <t>365027493493</t>
  </si>
  <si>
    <t>松田 修一 [マツダ シュウイチ]</t>
  </si>
  <si>
    <t>090-5181-6144</t>
  </si>
  <si>
    <t>061-1372</t>
  </si>
  <si>
    <t>Water quality testing pen</t>
  </si>
  <si>
    <t>恵庭市</t>
  </si>
  <si>
    <t>恵み野南5-6-11</t>
  </si>
  <si>
    <t>365027493331</t>
  </si>
  <si>
    <t>伊丹 晋輔 [イタミ シンスケ]</t>
  </si>
  <si>
    <t>090-1350-8954</t>
  </si>
  <si>
    <t>713-8121</t>
  </si>
  <si>
    <t>楽天-クリアアフュー</t>
  </si>
  <si>
    <t xml:space="preserve"> 066-4508-345</t>
  </si>
  <si>
    <t>baseball</t>
  </si>
  <si>
    <t>岡山県</t>
  </si>
  <si>
    <t>倉敷市</t>
  </si>
  <si>
    <t>玉島阿賀崎2-1-1玉島中央病院</t>
  </si>
  <si>
    <t xml:space="preserve"> 大阪府大阪市浪速区日本橋５－１３－９－２０２</t>
  </si>
  <si>
    <t>365027469752</t>
  </si>
  <si>
    <t>篠崎翔太</t>
  </si>
  <si>
    <t>080-4452-8071</t>
  </si>
  <si>
    <t>060-0906</t>
  </si>
  <si>
    <t>北海道札幌市東区北6条東6丁目1-2-312</t>
  </si>
  <si>
    <t>365027493191</t>
  </si>
  <si>
    <t>久家 瑠美</t>
  </si>
  <si>
    <t>080-2513-6734</t>
  </si>
  <si>
    <t>574-0011</t>
  </si>
  <si>
    <t>wooden block</t>
  </si>
  <si>
    <t>大東市</t>
  </si>
  <si>
    <t>北条7-9-7</t>
  </si>
  <si>
    <t>365027493740</t>
  </si>
  <si>
    <t>高橋 佐代 [タカハシ サヨ]</t>
  </si>
  <si>
    <t>090-4750-6967</t>
  </si>
  <si>
    <t>364-0005</t>
  </si>
  <si>
    <t>楽天-KAMCITY-L</t>
  </si>
  <si>
    <t xml:space="preserve"> 070-1432-7896</t>
  </si>
  <si>
    <t>Outdoor Light</t>
  </si>
  <si>
    <t>北本市</t>
  </si>
  <si>
    <t>本宿5-58</t>
  </si>
  <si>
    <t xml:space="preserve"> 内本町2‐3‐8</t>
  </si>
  <si>
    <t>365027472235</t>
  </si>
  <si>
    <t>久木隆一郎</t>
  </si>
  <si>
    <t>080-2925-7078</t>
  </si>
  <si>
    <t>683-0009</t>
  </si>
  <si>
    <t>鳥取県米子市旗ヶ崎2丁目11-39アビタシオンドゥ601</t>
  </si>
  <si>
    <t>365027493526</t>
  </si>
  <si>
    <t>横井川 ノリ子</t>
  </si>
  <si>
    <t>080-1000-3225</t>
  </si>
  <si>
    <t>321-0203</t>
  </si>
  <si>
    <t>ashtray</t>
  </si>
  <si>
    <t>栃木県</t>
  </si>
  <si>
    <t>下都賀郡壬生町</t>
  </si>
  <si>
    <t>幸町1-5-3</t>
  </si>
  <si>
    <t>365027469284</t>
  </si>
  <si>
    <t>田口真大朗</t>
  </si>
  <si>
    <t>090-3165-1028</t>
  </si>
  <si>
    <t>542-0072</t>
  </si>
  <si>
    <t>humidifier</t>
  </si>
  <si>
    <t>大阪府大阪市中央区高津3-2-34 ホワイトハイツ601</t>
  </si>
  <si>
    <t>365027492771</t>
  </si>
  <si>
    <t>永井 恵美</t>
  </si>
  <si>
    <t>0735-32-3030</t>
  </si>
  <si>
    <t>519-5711</t>
  </si>
  <si>
    <t>cleaning brush</t>
  </si>
  <si>
    <t>南牟婁郡紀宝町</t>
  </si>
  <si>
    <t>井田1598</t>
  </si>
  <si>
    <t>365027492546</t>
  </si>
  <si>
    <t>長谷川資洋 (エスアイエイジェンシー依頼分)</t>
  </si>
  <si>
    <t>080-4210-9142</t>
  </si>
  <si>
    <t>321-2523</t>
  </si>
  <si>
    <t>doorbell</t>
  </si>
  <si>
    <t>日光市</t>
  </si>
  <si>
    <t>高徳38番地3 サンクチュアリコート日光 購買部 フロント29</t>
  </si>
  <si>
    <t>365027492981</t>
  </si>
  <si>
    <t>伊藤 珠子</t>
  </si>
  <si>
    <t>0532-25-1617</t>
  </si>
  <si>
    <t>441-8133</t>
  </si>
  <si>
    <t>豊橋市</t>
  </si>
  <si>
    <t>大清水町字大清水444-1</t>
  </si>
  <si>
    <t>365027492561</t>
  </si>
  <si>
    <t>原島 健二 [ハラシマ ケンジ]</t>
  </si>
  <si>
    <t>090-2635-9143</t>
  </si>
  <si>
    <t>004-0052</t>
  </si>
  <si>
    <t>札幌市厚別区</t>
  </si>
  <si>
    <t>厚別中央二条2-9-7 トラスコートひばりが丘302</t>
  </si>
  <si>
    <t>365027493294</t>
  </si>
  <si>
    <t>水阪 由美</t>
  </si>
  <si>
    <t>090-6370-4457</t>
  </si>
  <si>
    <t>550-0013</t>
  </si>
  <si>
    <t>Ornaments</t>
  </si>
  <si>
    <t>大阪市西区</t>
  </si>
  <si>
    <t>新町2-16-17アーデンタワー新町1101号</t>
  </si>
  <si>
    <t>365027492745</t>
  </si>
  <si>
    <t>高村 精一郎</t>
  </si>
  <si>
    <t>04-2944-6506</t>
  </si>
  <si>
    <t>359-0024</t>
  </si>
  <si>
    <t>所沢市</t>
  </si>
  <si>
    <t>下安松286-227</t>
  </si>
  <si>
    <t>365027493176</t>
  </si>
  <si>
    <t>長井 智美</t>
  </si>
  <si>
    <t>080-3546-7292</t>
  </si>
  <si>
    <t>253-0053</t>
  </si>
  <si>
    <t>Egg slicer</t>
  </si>
  <si>
    <t>茅ヶ崎市</t>
  </si>
  <si>
    <t>東海岸北5丁目1ー12ー2</t>
  </si>
  <si>
    <t>365027492583</t>
  </si>
  <si>
    <t>菅原 まゆみ [スガワラ マユミ]</t>
  </si>
  <si>
    <t>090-7657-3191</t>
  </si>
  <si>
    <t>005-0852</t>
  </si>
  <si>
    <t>楽天-SUTAIRU-D</t>
  </si>
  <si>
    <t>seal</t>
  </si>
  <si>
    <t>札幌市南区</t>
  </si>
  <si>
    <t>常盤二条1丁目12-6-1032025-12-14(日)16:00-18:00</t>
  </si>
  <si>
    <t>365027492955</t>
  </si>
  <si>
    <t>天草 慈恵病院</t>
  </si>
  <si>
    <t>0969-37-1114</t>
  </si>
  <si>
    <t>863-2502</t>
  </si>
  <si>
    <t>toy</t>
  </si>
  <si>
    <t>熊本県</t>
  </si>
  <si>
    <t>天草郡苓北町</t>
  </si>
  <si>
    <t>上津深江278-10</t>
  </si>
  <si>
    <t>365027493751</t>
  </si>
  <si>
    <t>本橋 伸子 [モトハシ ノブコ]</t>
  </si>
  <si>
    <t>03-5738-2012</t>
  </si>
  <si>
    <t>153-0044</t>
  </si>
  <si>
    <t>Warm Fan</t>
  </si>
  <si>
    <t>目黒区</t>
  </si>
  <si>
    <t>大橋2-2-3-504（午前中配達希望）</t>
  </si>
  <si>
    <t>365027490855</t>
  </si>
  <si>
    <t>高根沢 一也</t>
  </si>
  <si>
    <t>03-6273-8641</t>
  </si>
  <si>
    <t>160-0021</t>
  </si>
  <si>
    <t>歌舞伎町1-28-3 TOMOビル3F</t>
  </si>
  <si>
    <t>365027493434</t>
  </si>
  <si>
    <t>吉川 富子 [ヨシカワ ヒサコ]</t>
  </si>
  <si>
    <t>090-2284-0135</t>
  </si>
  <si>
    <t>060-0033</t>
  </si>
  <si>
    <t>Makeup Mirror</t>
  </si>
  <si>
    <t>北三条東11丁目338 プレミストタワーズ札幌苗穂AQUAGATE 2403（12:00-14:00配達希望）</t>
  </si>
  <si>
    <t>365027492885</t>
  </si>
  <si>
    <t>林 恵利</t>
  </si>
  <si>
    <t>090-2129-0540</t>
  </si>
  <si>
    <t>152-0013</t>
  </si>
  <si>
    <t>Track toys</t>
  </si>
  <si>
    <t>南2-8-17-156</t>
  </si>
  <si>
    <t>365027473311</t>
  </si>
  <si>
    <t>翔 浜田</t>
  </si>
  <si>
    <t>9067078729</t>
  </si>
  <si>
    <t>359-1151</t>
  </si>
  <si>
    <t>埼玉県所沢市若狭4-867-6</t>
  </si>
  <si>
    <t>365027472132</t>
  </si>
  <si>
    <t>Zhang li kun</t>
  </si>
  <si>
    <t>03-3253-5811</t>
  </si>
  <si>
    <t>101-0025</t>
  </si>
  <si>
    <t>東京都千代田区神田佐久間町1-17 4F</t>
  </si>
  <si>
    <t>365027493121</t>
  </si>
  <si>
    <t>パスタ屋 とらうさぎ3番店</t>
  </si>
  <si>
    <t>044-982-1638</t>
  </si>
  <si>
    <t>211-0041</t>
  </si>
  <si>
    <t>Belt</t>
  </si>
  <si>
    <t>川崎市中原区</t>
  </si>
  <si>
    <t>下小田中1-8-2 KFAビル1階（パスタ屋 とらうさぎ3番店）</t>
  </si>
  <si>
    <t>365027493272</t>
  </si>
  <si>
    <t>今川 亜由美 [イマガワ アユミ]</t>
  </si>
  <si>
    <t>090-4782-4051</t>
  </si>
  <si>
    <t>769-1407</t>
  </si>
  <si>
    <t>Led light</t>
  </si>
  <si>
    <t>香川県</t>
  </si>
  <si>
    <t>三豊市</t>
  </si>
  <si>
    <t>仁尾町仁尾丁1452-30</t>
  </si>
  <si>
    <t>365027493040</t>
  </si>
  <si>
    <t>林 竜生</t>
  </si>
  <si>
    <t>090-1472-7900</t>
  </si>
  <si>
    <t>502-0002</t>
  </si>
  <si>
    <t>岐阜県</t>
  </si>
  <si>
    <t>岐阜市</t>
  </si>
  <si>
    <t>粟野東3丁目210番地</t>
  </si>
  <si>
    <t>365027492804</t>
  </si>
  <si>
    <t>野沢 琴美</t>
  </si>
  <si>
    <t>080-5482-5103</t>
  </si>
  <si>
    <t>179-0074</t>
  </si>
  <si>
    <t>スマイルファミリー</t>
  </si>
  <si>
    <t xml:space="preserve"> 04-6364-2754</t>
  </si>
  <si>
    <t>Beach Toys</t>
  </si>
  <si>
    <t>練馬区</t>
  </si>
  <si>
    <t>春日町4-19-22</t>
  </si>
  <si>
    <t xml:space="preserve"> 神奈川県秦野市戸川４７０－７</t>
  </si>
  <si>
    <t>365027492841</t>
  </si>
  <si>
    <t>長谷川 由美</t>
  </si>
  <si>
    <t>059-379-6707</t>
  </si>
  <si>
    <t>513-0011</t>
  </si>
  <si>
    <t>Backrest pillow</t>
  </si>
  <si>
    <t>高塚町183-20</t>
  </si>
  <si>
    <t>365027493180</t>
  </si>
  <si>
    <t>福永 つよみ</t>
  </si>
  <si>
    <t>090-5268-9908</t>
  </si>
  <si>
    <t>751-0859</t>
  </si>
  <si>
    <t>Crystal lotus candle holder</t>
  </si>
  <si>
    <t>山口県</t>
  </si>
  <si>
    <t>下関市</t>
  </si>
  <si>
    <t>川中本町1-1513</t>
  </si>
  <si>
    <t>365027493412</t>
  </si>
  <si>
    <t>桜井 幸夫 [サクライ ユキオ]</t>
  </si>
  <si>
    <t>045-851-7288</t>
  </si>
  <si>
    <t>245-0063</t>
  </si>
  <si>
    <t>fitness belt</t>
  </si>
  <si>
    <t>横浜市戸塚区</t>
  </si>
  <si>
    <t>原宿1-47-4</t>
  </si>
  <si>
    <t>365027472165</t>
  </si>
  <si>
    <t>楓 後藤</t>
  </si>
  <si>
    <t>08017598887</t>
  </si>
  <si>
    <t>804-0011</t>
  </si>
  <si>
    <t>福岡県 城市 北九州市戸畑区中原西 地址 1-11-6</t>
  </si>
  <si>
    <t>365027469925</t>
  </si>
  <si>
    <t>安达翔</t>
  </si>
  <si>
    <t>08059682833</t>
  </si>
  <si>
    <t>350-1317</t>
  </si>
  <si>
    <t>埼玉県狭山市大字水野５０７－１</t>
  </si>
  <si>
    <t>365027469855</t>
  </si>
  <si>
    <t>FAN</t>
  </si>
  <si>
    <t>365027492701</t>
  </si>
  <si>
    <t>佐久間 美悠菜 [サクマ ミユナ]</t>
  </si>
  <si>
    <t>090-6624-3057</t>
  </si>
  <si>
    <t>963-0201</t>
  </si>
  <si>
    <t>楽天-kaneshiro</t>
  </si>
  <si>
    <t xml:space="preserve"> 05030921748</t>
  </si>
  <si>
    <t>Camping toys,bag</t>
  </si>
  <si>
    <t>福島県</t>
  </si>
  <si>
    <t>郡山市</t>
  </si>
  <si>
    <t>大槻町字針生北30-5</t>
  </si>
  <si>
    <t xml:space="preserve"> 大阪府大阪市東住吉区住道矢田七丁目１０番１３号</t>
  </si>
  <si>
    <t>365027492734</t>
  </si>
  <si>
    <t>JEONG EUI KYEOM</t>
  </si>
  <si>
    <t>070-9111-3307</t>
  </si>
  <si>
    <t>千代田区神田佐久間4-15-1</t>
  </si>
  <si>
    <t>PREMIUM CUBE 秋葉原1301号</t>
  </si>
  <si>
    <t>365027492970</t>
  </si>
  <si>
    <t>安居 彰子</t>
  </si>
  <si>
    <t>03-3722-8488</t>
  </si>
  <si>
    <t>145-0071</t>
  </si>
  <si>
    <t>大田区</t>
  </si>
  <si>
    <t>田園調布5-50-6</t>
  </si>
  <si>
    <t>365027493386</t>
  </si>
  <si>
    <t>隈井 慶 [クマイ ケイ]</t>
  </si>
  <si>
    <t>080-5385-4790</t>
  </si>
  <si>
    <t>252-0804</t>
  </si>
  <si>
    <t>藤沢市</t>
  </si>
  <si>
    <t>湘南台1-21-18-301</t>
  </si>
  <si>
    <t>365027492896</t>
  </si>
  <si>
    <t>江尻 知穂</t>
  </si>
  <si>
    <t>070-2216-7412</t>
  </si>
  <si>
    <t>464-0013</t>
  </si>
  <si>
    <t>Alarm clock</t>
  </si>
  <si>
    <t>名古屋市千種区</t>
  </si>
  <si>
    <t>汁谷町4-1 ヴィークステージ茶屋ヶ坂フォレストテラスF103</t>
  </si>
  <si>
    <t>365027493364</t>
  </si>
  <si>
    <t>鎌田 利美</t>
  </si>
  <si>
    <t>0470-47-3985</t>
  </si>
  <si>
    <t>299-2721</t>
  </si>
  <si>
    <t>Children's educational toys</t>
  </si>
  <si>
    <t>千葉県</t>
  </si>
  <si>
    <t>南房総市</t>
  </si>
  <si>
    <t>和田町五十蔵69ー1</t>
  </si>
  <si>
    <t>365027492760</t>
  </si>
  <si>
    <t>塩澤 秀幸</t>
  </si>
  <si>
    <t>055-222-3235</t>
  </si>
  <si>
    <t>400-0042</t>
  </si>
  <si>
    <t>山梨県</t>
  </si>
  <si>
    <t>甲府市</t>
  </si>
  <si>
    <t>高畑1-17-13</t>
  </si>
  <si>
    <t>365027493445</t>
  </si>
  <si>
    <t>池田 美月 [イケダ ミヅキ]</t>
  </si>
  <si>
    <t>080-4470-1349</t>
  </si>
  <si>
    <t>061-1354</t>
  </si>
  <si>
    <t>楽天-sepco</t>
  </si>
  <si>
    <t xml:space="preserve"> 070-5589-7493</t>
  </si>
  <si>
    <t>Skating shoes</t>
  </si>
  <si>
    <t>島松旭町2丁目5番20号</t>
  </si>
  <si>
    <t xml:space="preserve"> 中区大手町1-1-26-305大手町一番ビル</t>
  </si>
  <si>
    <t>365027468901</t>
  </si>
  <si>
    <t>西村サカエ</t>
  </si>
  <si>
    <t>08031027463</t>
  </si>
  <si>
    <t>520-3315</t>
  </si>
  <si>
    <t>Optical level</t>
  </si>
  <si>
    <t>甲賀市甲南町塩野 306 滋賀県</t>
  </si>
  <si>
    <t>365027468890</t>
  </si>
  <si>
    <t>中尾　広志</t>
  </si>
  <si>
    <t>09025121821</t>
  </si>
  <si>
    <t>859-3929</t>
  </si>
  <si>
    <t>東彼杵郡東彼杵町里郷1178-2 長崎県</t>
  </si>
  <si>
    <t>365027470614</t>
  </si>
  <si>
    <t>五井</t>
  </si>
  <si>
    <t>8097169507</t>
  </si>
  <si>
    <t>335-0021</t>
  </si>
  <si>
    <t>埼玉県戸田市新曽802-2 エクリューズ 204</t>
  </si>
  <si>
    <t>365027493574</t>
  </si>
  <si>
    <t>宮丘 輝一郎</t>
  </si>
  <si>
    <t>090-7478-6910</t>
  </si>
  <si>
    <t>880-0926</t>
  </si>
  <si>
    <t>宮崎県</t>
  </si>
  <si>
    <t>宮崎市</t>
  </si>
  <si>
    <t>月見ケ丘4-21-23</t>
  </si>
  <si>
    <t>365027492664</t>
  </si>
  <si>
    <t>西日本保険サービス 堀</t>
  </si>
  <si>
    <t>090-9051-1206</t>
  </si>
  <si>
    <t>658-0064</t>
  </si>
  <si>
    <t>Solar outdoor lamp,solar light</t>
  </si>
  <si>
    <t>兵庫県</t>
  </si>
  <si>
    <t>神戸市</t>
  </si>
  <si>
    <t>東灘区鴨子ヶ原3丁目7番25ー2号</t>
  </si>
  <si>
    <t>365027469262</t>
  </si>
  <si>
    <t>津田朋美</t>
  </si>
  <si>
    <t>080-9749-7494</t>
  </si>
  <si>
    <t>577-0806</t>
  </si>
  <si>
    <t>大阪府東大阪市上小阪2-8-12</t>
  </si>
  <si>
    <t>365027493810</t>
  </si>
  <si>
    <t>小川 香織 [オガワ カオリ]</t>
  </si>
  <si>
    <t>011-556-5838</t>
  </si>
  <si>
    <t>004-0003</t>
  </si>
  <si>
    <t>Night light</t>
  </si>
  <si>
    <t>厚別東三条3丁目9-30</t>
  </si>
  <si>
    <t>365027493025</t>
  </si>
  <si>
    <t>岩井 綾 [イワイ アヤ]</t>
  </si>
  <si>
    <t>080-5379-3586</t>
  </si>
  <si>
    <t>331-0045</t>
  </si>
  <si>
    <t>楽天-OBSESSION-L</t>
  </si>
  <si>
    <t xml:space="preserve"> 05036359867</t>
  </si>
  <si>
    <t>Fan</t>
  </si>
  <si>
    <t>さいたま市西区</t>
  </si>
  <si>
    <t>内野本郷303-13</t>
  </si>
  <si>
    <t xml:space="preserve"> 西成区北津守４－１３－４３</t>
  </si>
  <si>
    <t>365027469251</t>
  </si>
  <si>
    <t>大杉真奈美</t>
  </si>
  <si>
    <t>090-3176-7042</t>
  </si>
  <si>
    <t>707-0412</t>
  </si>
  <si>
    <t>heater</t>
  </si>
  <si>
    <t>岡山県美作市古町1902-1</t>
  </si>
  <si>
    <t>365027469903</t>
  </si>
  <si>
    <t>365027469295</t>
  </si>
  <si>
    <t>鉄山高</t>
  </si>
  <si>
    <t>080-5608-1968</t>
  </si>
  <si>
    <t>879-3104</t>
  </si>
  <si>
    <t>dashcam</t>
  </si>
  <si>
    <t>大分県佐伯市直川仁田原７９８番地-1</t>
  </si>
  <si>
    <t>365027470625</t>
  </si>
  <si>
    <t>FUKUNAGA KATSUSHIKA</t>
  </si>
  <si>
    <t>03-3877-5550</t>
  </si>
  <si>
    <t>134-0092</t>
  </si>
  <si>
    <t>Humidifier</t>
  </si>
  <si>
    <t>NO.3000 ICHINOECHO EDOGAWA-KU TOKYO</t>
  </si>
  <si>
    <t>365027492922</t>
  </si>
  <si>
    <t>樽井 大輔</t>
  </si>
  <si>
    <t>080-3767-2140</t>
  </si>
  <si>
    <t>676-0011</t>
  </si>
  <si>
    <t>高砂市</t>
  </si>
  <si>
    <t>荒井町小松原3丁目1ー3ー202 オリエンタルマンションI</t>
  </si>
  <si>
    <t>365027493353</t>
  </si>
  <si>
    <t>向井 公幸</t>
  </si>
  <si>
    <t>090-8663-5992</t>
  </si>
  <si>
    <t>879-5102</t>
  </si>
  <si>
    <t>5 star trust</t>
  </si>
  <si>
    <t xml:space="preserve"> 0672209304</t>
  </si>
  <si>
    <t>大分県</t>
  </si>
  <si>
    <t>由布市</t>
  </si>
  <si>
    <t>湯布院町川上331-10</t>
  </si>
  <si>
    <t xml:space="preserve"> 大阪府富田林市平町１－４１０３－１</t>
  </si>
  <si>
    <t>365027493692</t>
  </si>
  <si>
    <t>米山 智子 [ヨネヤマ トモコ]</t>
  </si>
  <si>
    <t>090-1611-6989</t>
  </si>
  <si>
    <t>380-0941</t>
  </si>
  <si>
    <t>長野県</t>
  </si>
  <si>
    <t>長野市</t>
  </si>
  <si>
    <t>安茂里1728-2</t>
  </si>
  <si>
    <t>365027493036</t>
  </si>
  <si>
    <t>山田 美代子 [ヤマダ ミヨコ]</t>
  </si>
  <si>
    <t>090-9737-8286</t>
  </si>
  <si>
    <t>753-0851</t>
  </si>
  <si>
    <t>山口市</t>
  </si>
  <si>
    <t>黒川642-15</t>
  </si>
  <si>
    <t>365027493762</t>
  </si>
  <si>
    <t>片山 健丸 [カタヤマ タケマル]</t>
  </si>
  <si>
    <t>080-3478-2293</t>
  </si>
  <si>
    <t>240-0023</t>
  </si>
  <si>
    <t>横浜市保土ケ谷区</t>
  </si>
  <si>
    <t>岩井町222 保土ヶ谷フラット3号棟317号</t>
  </si>
  <si>
    <t>365027470603</t>
  </si>
  <si>
    <t>365027493390</t>
  </si>
  <si>
    <t>加我 しおり [カガ シオリ]</t>
  </si>
  <si>
    <t>090-5071-6421</t>
  </si>
  <si>
    <t>059-0907</t>
  </si>
  <si>
    <t>Toy car</t>
  </si>
  <si>
    <t>白老郡白老町</t>
  </si>
  <si>
    <t>末広町4丁目10-7</t>
  </si>
  <si>
    <t>365027469936</t>
  </si>
  <si>
    <t>365027493821</t>
  </si>
  <si>
    <t>長井 千晶 [ナガイ チアキ]</t>
  </si>
  <si>
    <t>080-5669-9363</t>
  </si>
  <si>
    <t>776-0013</t>
  </si>
  <si>
    <t>Storage bag</t>
  </si>
  <si>
    <t>徳島県</t>
  </si>
  <si>
    <t>吉野川市</t>
  </si>
  <si>
    <t>鴨島町上下島字野神ノ元125-1 五九郎ビル2F</t>
  </si>
  <si>
    <t>365027493681</t>
  </si>
  <si>
    <t>道用 明日香 [ドウヨウ アスカ]</t>
  </si>
  <si>
    <t>080-3134-0325</t>
  </si>
  <si>
    <t>565-0854</t>
  </si>
  <si>
    <t>bag,toy</t>
  </si>
  <si>
    <t>吹田市</t>
  </si>
  <si>
    <t>桃山台2-3-8 アンビエラ桃山台208</t>
  </si>
  <si>
    <t>365027493725</t>
  </si>
  <si>
    <t>小川 容江 [オガワ ヨウコ]</t>
  </si>
  <si>
    <t>080-5242-1674</t>
  </si>
  <si>
    <t>899-2707</t>
  </si>
  <si>
    <t>楽天-さのののストア</t>
  </si>
  <si>
    <t xml:space="preserve"> 050-8882-6402</t>
  </si>
  <si>
    <t>towel,bag,toy</t>
  </si>
  <si>
    <t>鹿児島県</t>
  </si>
  <si>
    <t>鹿児島市</t>
  </si>
  <si>
    <t>松陽台町40番地県営住宅松陽台団地34棟104</t>
  </si>
  <si>
    <t xml:space="preserve"> 和歌山県和歌山市西釘貫丁２－５３プレミール石川５０２</t>
  </si>
  <si>
    <t>365027493504</t>
  </si>
  <si>
    <t>田野 宏一 [タノ ヒロカズ]</t>
  </si>
  <si>
    <t>090-5307-7518</t>
  </si>
  <si>
    <t>339-0056</t>
  </si>
  <si>
    <t>pen box</t>
  </si>
  <si>
    <t>さいたま市岩槻区</t>
  </si>
  <si>
    <t>加倉 4-12-3</t>
  </si>
  <si>
    <t>365027469914</t>
  </si>
  <si>
    <t>365027493714</t>
  </si>
  <si>
    <t>山碕 諒介 [ヤマザキ リョウスケ]</t>
  </si>
  <si>
    <t>090-6911-8684</t>
  </si>
  <si>
    <t>Musical instrument toys</t>
  </si>
  <si>
    <t>荒井町小松原3丁目13番10-5</t>
  </si>
  <si>
    <t>365027472176</t>
  </si>
  <si>
    <t>藤原 励</t>
  </si>
  <si>
    <t>08031909562</t>
  </si>
  <si>
    <t>221-0854</t>
  </si>
  <si>
    <t>神奈川県横浜市神奈川区三ツ沢南町17-13-106</t>
  </si>
  <si>
    <t>365027472154</t>
  </si>
  <si>
    <t>Ayako Uehara</t>
  </si>
  <si>
    <t>090-9175-9406</t>
  </si>
  <si>
    <t>414-0051</t>
  </si>
  <si>
    <t>静岡県伊東市吉田79-5</t>
  </si>
  <si>
    <t>365027493622</t>
  </si>
  <si>
    <t>日紫喜 隆 [ヒシキ タカシ]</t>
  </si>
  <si>
    <t>090-3844-5119</t>
  </si>
  <si>
    <t>565-0831</t>
  </si>
  <si>
    <t>Binoculars</t>
  </si>
  <si>
    <t>五月が丘東6-B-1307</t>
  </si>
  <si>
    <t>365027493202</t>
  </si>
  <si>
    <t>とし内科 田中稔之 [トシナイカ タナカトシユキ]</t>
  </si>
  <si>
    <t>080-6103-5739</t>
  </si>
  <si>
    <t>671-1523</t>
  </si>
  <si>
    <t>Detector</t>
  </si>
  <si>
    <t>揖保郡太子町</t>
  </si>
  <si>
    <t>東南344-6</t>
  </si>
  <si>
    <t>365027492944</t>
  </si>
  <si>
    <t>本間 美穂 [ホンマ ミホ]</t>
  </si>
  <si>
    <t>090-2600-2397</t>
  </si>
  <si>
    <t>085-0065</t>
  </si>
  <si>
    <t>Fever scarf</t>
  </si>
  <si>
    <t>美原四丁目5-18 美原四丁目宿舎 102号室</t>
  </si>
  <si>
    <t>365027493224</t>
  </si>
  <si>
    <t>エルファースト株式会社 石田剛大 [エルファースト イシダタカオ]</t>
  </si>
  <si>
    <t>070-9075-0358</t>
  </si>
  <si>
    <t>372-0014</t>
  </si>
  <si>
    <t>伊勢崎市</t>
  </si>
  <si>
    <t>昭和町1689-4</t>
  </si>
  <si>
    <t>365027493703</t>
  </si>
  <si>
    <t>神谷 友梨 [カミヤ ユリ]</t>
  </si>
  <si>
    <t>080-4548-8848</t>
  </si>
  <si>
    <t>450-0003</t>
  </si>
  <si>
    <t>名古屋市中村区</t>
  </si>
  <si>
    <t>名駅南3丁目3-16ディモーラ名駅南301</t>
  </si>
  <si>
    <t>365027493633</t>
  </si>
  <si>
    <t>香月 星乃 [カツキ セイノ]</t>
  </si>
  <si>
    <t>090-9395-3963</t>
  </si>
  <si>
    <t>156-0055</t>
  </si>
  <si>
    <t>世田谷区</t>
  </si>
  <si>
    <t>船橋6-27-1-7102025-12-16(火)</t>
  </si>
  <si>
    <t>365027493611</t>
  </si>
  <si>
    <t>横山 葵 [ヨコヤマ アオイ]</t>
  </si>
  <si>
    <t>080-5596-5050</t>
  </si>
  <si>
    <t>069-0361</t>
  </si>
  <si>
    <t>data line,Pepper mill</t>
  </si>
  <si>
    <t>岩見沢市</t>
  </si>
  <si>
    <t>上幌向北一条5丁目758-41</t>
  </si>
  <si>
    <t>365027470592</t>
  </si>
  <si>
    <t>山本剛</t>
  </si>
  <si>
    <t>053-468-6380</t>
  </si>
  <si>
    <t>435-0056</t>
  </si>
  <si>
    <t>静岡県浜松市中央区小池町2642</t>
  </si>
  <si>
    <t>365027493143</t>
  </si>
  <si>
    <t>株式会社 坂本推進</t>
  </si>
  <si>
    <t>017-743-3302</t>
  </si>
  <si>
    <t>030-0945</t>
  </si>
  <si>
    <t>Scanning pen</t>
  </si>
  <si>
    <t>青森県</t>
  </si>
  <si>
    <t>青森市</t>
  </si>
  <si>
    <t>桜川9-9-24</t>
  </si>
  <si>
    <t>365027491791</t>
  </si>
  <si>
    <t>市毛 徹 [イチゲ トオル]</t>
  </si>
  <si>
    <t>090-1357-3364</t>
  </si>
  <si>
    <t>417-0856</t>
  </si>
  <si>
    <t>circuit changer</t>
  </si>
  <si>
    <t>富士市</t>
  </si>
  <si>
    <t>さんどまき57番地</t>
  </si>
  <si>
    <t>365027493423</t>
  </si>
  <si>
    <t>網田 涼花</t>
  </si>
  <si>
    <t>080-5627-8932</t>
  </si>
  <si>
    <t>522-0025</t>
  </si>
  <si>
    <t>Electronic organ toy</t>
  </si>
  <si>
    <t>彦根市</t>
  </si>
  <si>
    <t>野田山町569-1 ゴールドパティー5 103</t>
  </si>
  <si>
    <t>流山市</t>
  </si>
  <si>
    <t xml:space="preserve"> 平方 字下中谷806-1 GLP　ALFALINK8-1F　 13番</t>
  </si>
  <si>
    <t>365027493666</t>
  </si>
  <si>
    <t>高屋 梨花 [タカヤ リカ]</t>
  </si>
  <si>
    <t>090-6994-3145</t>
  </si>
  <si>
    <t>078-8231</t>
  </si>
  <si>
    <t>金城楽天市場店</t>
  </si>
  <si>
    <t>旭川市</t>
  </si>
  <si>
    <t>豊岡1条6丁目3-18</t>
  </si>
  <si>
    <t>365027493375</t>
  </si>
  <si>
    <t>廣瀬 みちる [ヒロセ ミチル]</t>
  </si>
  <si>
    <t>080-6018-8209</t>
  </si>
  <si>
    <t>164-0011</t>
  </si>
  <si>
    <t>中野区</t>
  </si>
  <si>
    <t>中央4丁目53-4 ベルプラザ402（午前中お願い）</t>
  </si>
  <si>
    <t>365027493165</t>
  </si>
  <si>
    <t>杉本 紘史</t>
  </si>
  <si>
    <t>0744-35-3895</t>
  </si>
  <si>
    <t>634-0805</t>
  </si>
  <si>
    <t>Polishing paste</t>
  </si>
  <si>
    <t>奈良県</t>
  </si>
  <si>
    <t>橿原市</t>
  </si>
  <si>
    <t>地黄町82-31</t>
  </si>
  <si>
    <t>365027493014</t>
  </si>
  <si>
    <t>西間木 恵 [ニシマギ メグミ]</t>
  </si>
  <si>
    <t>090-2526-1670</t>
  </si>
  <si>
    <t>324-0206</t>
  </si>
  <si>
    <t>大田原市</t>
  </si>
  <si>
    <t>中野内1879の3</t>
  </si>
  <si>
    <t>365027493235</t>
  </si>
  <si>
    <t>株式会社ナガワ つくば営業所</t>
  </si>
  <si>
    <t>029-836-7502</t>
  </si>
  <si>
    <t>305-0868</t>
  </si>
  <si>
    <t>茨城県</t>
  </si>
  <si>
    <t>つくば市</t>
  </si>
  <si>
    <t>台町1-9-1</t>
  </si>
  <si>
    <t>365027493471</t>
  </si>
  <si>
    <t>松原 光雄 [マツバラ ミツオ]</t>
  </si>
  <si>
    <t>090-3115-5260</t>
  </si>
  <si>
    <t>007-0829</t>
  </si>
  <si>
    <t>COAT</t>
  </si>
  <si>
    <t>札幌市東区</t>
  </si>
  <si>
    <t>東雁来九条2丁目11-18</t>
  </si>
  <si>
    <t>365027493003</t>
  </si>
  <si>
    <t>渡辺 琴美 [ワタナベ コトミ]</t>
  </si>
  <si>
    <t>090-6903-6070</t>
  </si>
  <si>
    <t>692-0012</t>
  </si>
  <si>
    <t>島根県</t>
  </si>
  <si>
    <t>安来市</t>
  </si>
  <si>
    <t>宮内町318番地7</t>
  </si>
  <si>
    <t>365027492756</t>
  </si>
  <si>
    <t>合志 崇</t>
  </si>
  <si>
    <t>080-9861-4568</t>
  </si>
  <si>
    <t>208-0031</t>
  </si>
  <si>
    <t>Acrylic display stand</t>
  </si>
  <si>
    <t>武蔵村山市</t>
  </si>
  <si>
    <t>岸 3-22-10 昭和コーポ武蔵村山1 101号室</t>
  </si>
  <si>
    <t>365027491544</t>
  </si>
  <si>
    <t>有原 優 [アリハラ ユウ]</t>
  </si>
  <si>
    <t>080-4177-0142</t>
  </si>
  <si>
    <t>300-2359</t>
  </si>
  <si>
    <t>notepad</t>
  </si>
  <si>
    <t>つくばみらい市</t>
  </si>
  <si>
    <t>紫峰ヶ丘5-14-2</t>
  </si>
  <si>
    <t>365008241776</t>
  </si>
  <si>
    <t>佐藤ひなた</t>
  </si>
  <si>
    <t>090-8258-2793</t>
  </si>
  <si>
    <t>162-0041</t>
  </si>
  <si>
    <t>Eyelash curler</t>
  </si>
  <si>
    <t>東京都新宿区早稲田鶴巻町112 ReveResidence早稲田203号室</t>
  </si>
  <si>
    <t>365008241765</t>
  </si>
  <si>
    <t>田中 アイ子</t>
  </si>
  <si>
    <t>080-5527-0030</t>
  </si>
  <si>
    <t>420-0911</t>
  </si>
  <si>
    <t>静岡県静岡市葵区瀬名7-4-11</t>
  </si>
  <si>
    <t>365008241780</t>
  </si>
  <si>
    <t>田口みう</t>
  </si>
  <si>
    <t>080-9074-9464</t>
  </si>
  <si>
    <t>027-0096</t>
  </si>
  <si>
    <t>岩手県宮古市崎鍬ケ崎第４地割１−１３はまなす寮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</si>
</sst>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8" formatCode="&quot;￥&quot;#,##0.00;[Red]&quot;￥&quot;\-#,##0.00"/>
    <numFmt numFmtId="176" formatCode="0_);[Red]\(0\)"/>
    <numFmt numFmtId="177" formatCode="0_ "/>
    <numFmt numFmtId="178" formatCode="[$-409]yyyy\-mm\-dd;@"/>
  </numFmts>
  <fonts count="28">
    <font>
      <sz val="11"/>
      <name val="ＭＳ Ｐゴシック"/>
      <charset val="134"/>
    </font>
    <font>
      <b/>
      <sz val="12"/>
      <name val="ＭＳ 明朝"/>
      <charset val="134"/>
    </font>
    <font>
      <b/>
      <sz val="12"/>
      <color rgb="FFFF0000"/>
      <name val="ＭＳ 明朝"/>
      <charset val="134"/>
    </font>
    <font>
      <sz val="12"/>
      <name val="ＭＳ 明朝"/>
      <charset val="134"/>
    </font>
    <font>
      <sz val="11"/>
      <color rgb="FF000000"/>
      <name val="ＭＳ 明朝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indexed="8"/>
      <name val="Arial"/>
      <charset val="0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0" fontId="0" fillId="0" borderId="0" applyFont="0" applyFill="0" applyBorder="0" applyAlignment="0" applyProtection="0">
      <alignment vertical="center"/>
    </xf>
    <xf numFmtId="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6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  <xf numFmtId="0" fontId="23" fillId="0" borderId="0"/>
    <xf numFmtId="0" fontId="24" fillId="0" borderId="0"/>
    <xf numFmtId="0" fontId="25" fillId="0" borderId="0" applyNumberFormat="0" applyFill="0" applyBorder="0" applyProtection="0"/>
    <xf numFmtId="0" fontId="24" fillId="0" borderId="0"/>
    <xf numFmtId="0" fontId="26" fillId="0" borderId="0"/>
    <xf numFmtId="0" fontId="27" fillId="0" borderId="0">
      <alignment vertical="center"/>
    </xf>
    <xf numFmtId="0" fontId="0" fillId="0" borderId="0"/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77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 quotePrefix="1">
      <alignment horizontal="lef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2 2" xfId="50"/>
    <cellStyle name="一般 3" xfId="51"/>
    <cellStyle name="一般 4" xfId="52"/>
    <cellStyle name="一般 5" xfId="53"/>
    <cellStyle name="一般 6" xfId="54"/>
    <cellStyle name="一般 7" xfId="55"/>
    <cellStyle name="標準 2" xfId="56"/>
  </cellStyles>
  <tableStyles count="0" defaultTableStyle="TableStyleMedium2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131</xdr:row>
      <xdr:rowOff>351155</xdr:rowOff>
    </xdr:from>
    <xdr:to>
      <xdr:col>7</xdr:col>
      <xdr:colOff>897255</xdr:colOff>
      <xdr:row>131</xdr:row>
      <xdr:rowOff>360680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56825" y="43460670"/>
          <a:ext cx="8972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Y128"/>
  <sheetViews>
    <sheetView tabSelected="1" topLeftCell="K1" workbookViewId="0">
      <selection activeCell="N6" sqref="N6"/>
    </sheetView>
  </sheetViews>
  <sheetFormatPr defaultColWidth="9" defaultRowHeight="12.75"/>
  <cols>
    <col min="1" max="1" width="17.8318584070796" customWidth="1"/>
    <col min="2" max="2" width="22.8938053097345" customWidth="1"/>
    <col min="3" max="4" width="12.9734513274336" customWidth="1"/>
    <col min="5" max="5" width="11.6637168141593" customWidth="1"/>
    <col min="6" max="6" width="16" customWidth="1"/>
    <col min="7" max="7" width="47.212389380531" customWidth="1"/>
    <col min="8" max="8" width="16.5575221238938" customWidth="1"/>
    <col min="9" max="9" width="14.4424778761062" customWidth="1"/>
    <col min="10" max="10" width="35.1061946902655" customWidth="1"/>
    <col min="11" max="11" width="80.0442477876106" customWidth="1"/>
    <col min="12" max="12" width="17.4424778761062" customWidth="1"/>
    <col min="13" max="13" width="19.3362831858407" customWidth="1"/>
    <col min="14" max="14" width="30.1061946902655" customWidth="1"/>
    <col min="15" max="15" width="36.1061946902655" customWidth="1"/>
    <col min="16" max="16" width="9.38938053097345" customWidth="1"/>
    <col min="17" max="17" width="14.8053097345133" customWidth="1"/>
    <col min="18" max="18" width="19.5132743362832" customWidth="1"/>
    <col min="19" max="19" width="29.0088495575221" customWidth="1"/>
    <col min="20" max="20" width="95.5132743362832" customWidth="1"/>
    <col min="21" max="22" width="20.7079646017699" customWidth="1"/>
    <col min="23" max="24" width="14.8053097345133" customWidth="1"/>
    <col min="25" max="25" width="80.0442477876106" customWidth="1"/>
  </cols>
  <sheetData>
    <row r="1" ht="33.05" customHeight="1" spans="1: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3" t="s">
        <v>14</v>
      </c>
      <c r="P1" s="5" t="s">
        <v>15</v>
      </c>
      <c r="Q1" s="3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ht="33.05" customHeight="1" spans="1:25">
      <c r="A2" s="6" t="s">
        <v>25</v>
      </c>
      <c r="B2" s="7">
        <v>365027493316</v>
      </c>
      <c r="C2" s="8"/>
      <c r="D2" s="6">
        <v>0</v>
      </c>
      <c r="E2" s="6">
        <v>1</v>
      </c>
      <c r="F2" s="9" t="s">
        <v>26</v>
      </c>
      <c r="G2" s="6" t="str">
        <f t="shared" ref="G2:G65" si="0">R2&amp;S2&amp;T2&amp;U2&amp;V2</f>
        <v>東京都調布市緑ケ丘1-7-6（宅配ボックス希望）</v>
      </c>
      <c r="H2" s="6" t="s">
        <v>27</v>
      </c>
      <c r="I2" s="6" t="s">
        <v>28</v>
      </c>
      <c r="J2" s="6" t="s">
        <v>29</v>
      </c>
      <c r="K2" s="6" t="str">
        <f t="shared" ref="K2:K65" si="1">W2&amp;X2&amp;Y2</f>
        <v> 東京都稲城市平尾１－１４－１７</v>
      </c>
      <c r="L2" s="6"/>
      <c r="M2" s="6" t="s">
        <v>30</v>
      </c>
      <c r="N2" s="12" t="s">
        <v>31</v>
      </c>
      <c r="O2" s="6" t="s">
        <v>32</v>
      </c>
      <c r="P2" s="6"/>
      <c r="Q2" s="6" t="s">
        <v>25</v>
      </c>
      <c r="R2" s="6" t="s">
        <v>33</v>
      </c>
      <c r="S2" s="6" t="s">
        <v>34</v>
      </c>
      <c r="T2" s="6" t="s">
        <v>35</v>
      </c>
      <c r="U2" s="6"/>
      <c r="V2" s="6"/>
      <c r="W2" s="6"/>
      <c r="X2" s="6"/>
      <c r="Y2" s="6" t="s">
        <v>36</v>
      </c>
    </row>
    <row r="3" ht="33.05" customHeight="1" spans="1:25">
      <c r="A3" s="6" t="s">
        <v>37</v>
      </c>
      <c r="B3" s="7" t="s">
        <v>37</v>
      </c>
      <c r="C3" s="8">
        <v>46005</v>
      </c>
      <c r="D3" s="6">
        <v>0</v>
      </c>
      <c r="E3" s="6">
        <v>1</v>
      </c>
      <c r="F3" s="9" t="s">
        <v>38</v>
      </c>
      <c r="G3" s="6" t="str">
        <f t="shared" si="0"/>
        <v>三重県鈴鹿市自由ヶ丘4丁目10ー25</v>
      </c>
      <c r="H3" s="6" t="s">
        <v>39</v>
      </c>
      <c r="I3" s="6" t="s">
        <v>40</v>
      </c>
      <c r="J3" s="6" t="s">
        <v>41</v>
      </c>
      <c r="K3" s="6" t="str">
        <f t="shared" si="1"/>
        <v>東京都新宿区 新宿３－７－９</v>
      </c>
      <c r="L3" s="6"/>
      <c r="M3" s="6" t="s">
        <v>42</v>
      </c>
      <c r="N3" s="12" t="s">
        <v>31</v>
      </c>
      <c r="O3" s="6" t="s">
        <v>43</v>
      </c>
      <c r="P3" s="6"/>
      <c r="Q3" s="6" t="s">
        <v>37</v>
      </c>
      <c r="R3" s="6" t="s">
        <v>44</v>
      </c>
      <c r="S3" s="6" t="s">
        <v>45</v>
      </c>
      <c r="T3" s="6" t="s">
        <v>46</v>
      </c>
      <c r="U3" s="6" t="s">
        <v>47</v>
      </c>
      <c r="V3" s="6" t="s">
        <v>47</v>
      </c>
      <c r="W3" s="6" t="s">
        <v>33</v>
      </c>
      <c r="X3" s="6" t="s">
        <v>48</v>
      </c>
      <c r="Y3" s="6" t="s">
        <v>49</v>
      </c>
    </row>
    <row r="4" ht="33.05" customHeight="1" spans="1:25">
      <c r="A4" s="6" t="s">
        <v>50</v>
      </c>
      <c r="B4" s="7" t="s">
        <v>50</v>
      </c>
      <c r="C4" s="8"/>
      <c r="D4" s="6">
        <v>0</v>
      </c>
      <c r="E4" s="6">
        <v>1</v>
      </c>
      <c r="F4" s="9" t="s">
        <v>51</v>
      </c>
      <c r="G4" s="6" t="str">
        <f t="shared" si="0"/>
        <v>志布志市志布志町安楽 1969 株式会社　溝川工業 鹿児島県</v>
      </c>
      <c r="H4" s="6" t="s">
        <v>52</v>
      </c>
      <c r="I4" s="6" t="s">
        <v>53</v>
      </c>
      <c r="J4" s="6"/>
      <c r="K4" s="6" t="str">
        <f t="shared" si="1"/>
        <v> </v>
      </c>
      <c r="L4" s="6"/>
      <c r="M4" s="6" t="s">
        <v>54</v>
      </c>
      <c r="N4" s="12" t="s">
        <v>31</v>
      </c>
      <c r="O4" s="6" t="s">
        <v>55</v>
      </c>
      <c r="P4" s="6"/>
      <c r="Q4" s="6" t="s">
        <v>50</v>
      </c>
      <c r="R4" s="6"/>
      <c r="S4" s="6"/>
      <c r="T4" s="6" t="s">
        <v>56</v>
      </c>
      <c r="U4" s="6"/>
      <c r="V4" s="6"/>
      <c r="W4" s="6"/>
      <c r="X4" s="6"/>
      <c r="Y4" s="6" t="s">
        <v>54</v>
      </c>
    </row>
    <row r="5" ht="33.05" customHeight="1" spans="1:25">
      <c r="A5" s="6" t="s">
        <v>57</v>
      </c>
      <c r="B5" s="7" t="s">
        <v>57</v>
      </c>
      <c r="C5" s="8"/>
      <c r="D5" s="6">
        <v>0</v>
      </c>
      <c r="E5" s="6">
        <v>1</v>
      </c>
      <c r="F5" s="9" t="s">
        <v>58</v>
      </c>
      <c r="G5" s="6" t="str">
        <f t="shared" si="0"/>
        <v>神奈川県横浜市青葉区榎が丘25-1ドレッセ青葉台プレエスタ111</v>
      </c>
      <c r="H5" s="6" t="s">
        <v>59</v>
      </c>
      <c r="I5" s="6" t="s">
        <v>60</v>
      </c>
      <c r="J5" s="6" t="s">
        <v>61</v>
      </c>
      <c r="K5" s="6" t="str">
        <f t="shared" si="1"/>
        <v>NoneGuangDong 龙华区梅坂路民乐科技大厦211室</v>
      </c>
      <c r="L5" s="6"/>
      <c r="M5" s="6" t="s">
        <v>62</v>
      </c>
      <c r="N5" s="12" t="s">
        <v>31</v>
      </c>
      <c r="O5" s="6" t="s">
        <v>63</v>
      </c>
      <c r="P5" s="6"/>
      <c r="Q5" s="6" t="s">
        <v>57</v>
      </c>
      <c r="R5" s="6" t="s">
        <v>64</v>
      </c>
      <c r="S5" s="6" t="s">
        <v>65</v>
      </c>
      <c r="T5" s="6" t="s">
        <v>66</v>
      </c>
      <c r="U5" s="6" t="s">
        <v>47</v>
      </c>
      <c r="V5" s="6" t="s">
        <v>47</v>
      </c>
      <c r="W5" s="6" t="s">
        <v>67</v>
      </c>
      <c r="X5" s="6" t="s">
        <v>68</v>
      </c>
      <c r="Y5" s="6" t="s">
        <v>69</v>
      </c>
    </row>
    <row r="6" ht="33.05" customHeight="1" spans="1:25">
      <c r="A6" s="6" t="s">
        <v>70</v>
      </c>
      <c r="B6" s="7" t="s">
        <v>70</v>
      </c>
      <c r="C6" s="8"/>
      <c r="D6" s="6">
        <v>0</v>
      </c>
      <c r="E6" s="6">
        <v>1</v>
      </c>
      <c r="F6" s="9" t="s">
        <v>71</v>
      </c>
      <c r="G6" s="6" t="str">
        <f t="shared" si="0"/>
        <v>北海道夕張郡長沼町旭町北1丁目3ー17</v>
      </c>
      <c r="H6" s="6" t="s">
        <v>72</v>
      </c>
      <c r="I6" s="6" t="s">
        <v>73</v>
      </c>
      <c r="J6" s="6" t="s">
        <v>74</v>
      </c>
      <c r="K6" s="6" t="str">
        <f t="shared" si="1"/>
        <v> 東京都大田区上池台３－２４－１４スターハイツ洗足池２　２０２</v>
      </c>
      <c r="L6" s="6"/>
      <c r="M6" s="6" t="s">
        <v>75</v>
      </c>
      <c r="N6" s="12" t="s">
        <v>31</v>
      </c>
      <c r="O6" s="6" t="s">
        <v>76</v>
      </c>
      <c r="P6" s="6"/>
      <c r="Q6" s="6" t="s">
        <v>70</v>
      </c>
      <c r="R6" s="6" t="s">
        <v>77</v>
      </c>
      <c r="S6" s="6" t="s">
        <v>78</v>
      </c>
      <c r="T6" s="6" t="s">
        <v>79</v>
      </c>
      <c r="U6" s="6"/>
      <c r="V6" s="6"/>
      <c r="W6" s="6"/>
      <c r="X6" s="6"/>
      <c r="Y6" s="6" t="s">
        <v>80</v>
      </c>
    </row>
    <row r="7" ht="33.05" customHeight="1" spans="1:25">
      <c r="A7" s="6" t="s">
        <v>81</v>
      </c>
      <c r="B7" s="7" t="s">
        <v>81</v>
      </c>
      <c r="C7" s="8">
        <v>46008</v>
      </c>
      <c r="D7" s="6">
        <v>0</v>
      </c>
      <c r="E7" s="6">
        <v>1</v>
      </c>
      <c r="F7" s="9" t="s">
        <v>82</v>
      </c>
      <c r="G7" s="6" t="str">
        <f t="shared" si="0"/>
        <v>滋賀県甲賀市信楽町勅旨1993 ギャラリーきりん</v>
      </c>
      <c r="H7" s="6" t="s">
        <v>83</v>
      </c>
      <c r="I7" s="6" t="s">
        <v>84</v>
      </c>
      <c r="J7" s="6" t="s">
        <v>85</v>
      </c>
      <c r="K7" s="6" t="str">
        <f t="shared" si="1"/>
        <v> 滋賀県甲賀市甲南町野尻558</v>
      </c>
      <c r="L7" s="6"/>
      <c r="M7" s="6" t="s">
        <v>86</v>
      </c>
      <c r="N7" s="12" t="s">
        <v>31</v>
      </c>
      <c r="O7" s="6" t="s">
        <v>87</v>
      </c>
      <c r="P7" s="6"/>
      <c r="Q7" s="6" t="s">
        <v>81</v>
      </c>
      <c r="R7" s="6" t="s">
        <v>88</v>
      </c>
      <c r="S7" s="6" t="s">
        <v>89</v>
      </c>
      <c r="T7" s="6" t="s">
        <v>90</v>
      </c>
      <c r="U7" s="6"/>
      <c r="V7" s="6"/>
      <c r="W7" s="6"/>
      <c r="X7" s="6"/>
      <c r="Y7" s="6" t="s">
        <v>91</v>
      </c>
    </row>
    <row r="8" ht="33.05" customHeight="1" spans="1:25">
      <c r="A8" s="6" t="s">
        <v>92</v>
      </c>
      <c r="B8" s="7" t="s">
        <v>92</v>
      </c>
      <c r="C8" s="8"/>
      <c r="D8" s="6">
        <v>0</v>
      </c>
      <c r="E8" s="6">
        <v>1</v>
      </c>
      <c r="F8" s="9" t="s">
        <v>93</v>
      </c>
      <c r="G8" s="6" t="str">
        <f t="shared" si="0"/>
        <v>愛知県豊田市宝町東田25番地</v>
      </c>
      <c r="H8" s="6" t="s">
        <v>94</v>
      </c>
      <c r="I8" s="6" t="s">
        <v>95</v>
      </c>
      <c r="J8" s="6" t="s">
        <v>85</v>
      </c>
      <c r="K8" s="6" t="str">
        <f t="shared" si="1"/>
        <v> 滋賀県甲賀市甲南町野尻558</v>
      </c>
      <c r="L8" s="6"/>
      <c r="M8" s="6" t="s">
        <v>86</v>
      </c>
      <c r="N8" s="12" t="s">
        <v>31</v>
      </c>
      <c r="O8" s="6" t="s">
        <v>96</v>
      </c>
      <c r="P8" s="6"/>
      <c r="Q8" s="6" t="s">
        <v>92</v>
      </c>
      <c r="R8" s="6" t="s">
        <v>97</v>
      </c>
      <c r="S8" s="6" t="s">
        <v>98</v>
      </c>
      <c r="T8" s="6" t="s">
        <v>99</v>
      </c>
      <c r="U8" s="6"/>
      <c r="V8" s="6"/>
      <c r="W8" s="6"/>
      <c r="X8" s="6"/>
      <c r="Y8" s="6" t="s">
        <v>91</v>
      </c>
    </row>
    <row r="9" ht="33.05" customHeight="1" spans="1:25">
      <c r="A9" s="6" t="s">
        <v>100</v>
      </c>
      <c r="B9" s="7" t="s">
        <v>100</v>
      </c>
      <c r="C9" s="8"/>
      <c r="D9" s="6">
        <v>0</v>
      </c>
      <c r="E9" s="6">
        <v>1</v>
      </c>
      <c r="F9" s="9" t="s">
        <v>101</v>
      </c>
      <c r="G9" s="6" t="str">
        <f t="shared" si="0"/>
        <v>京都府福知山市大江町南有路1208</v>
      </c>
      <c r="H9" s="6" t="s">
        <v>102</v>
      </c>
      <c r="I9" s="6" t="s">
        <v>103</v>
      </c>
      <c r="J9" s="6" t="s">
        <v>104</v>
      </c>
      <c r="K9" s="6" t="str">
        <f t="shared" si="1"/>
        <v> 神奈川県川崎市高津区下作延２－２２－５クレイノアクアパレス２０５</v>
      </c>
      <c r="L9" s="6"/>
      <c r="M9" s="6" t="s">
        <v>105</v>
      </c>
      <c r="N9" s="12" t="s">
        <v>31</v>
      </c>
      <c r="O9" s="6" t="s">
        <v>106</v>
      </c>
      <c r="P9" s="6"/>
      <c r="Q9" s="6" t="s">
        <v>100</v>
      </c>
      <c r="R9" s="6" t="s">
        <v>107</v>
      </c>
      <c r="S9" s="6" t="s">
        <v>108</v>
      </c>
      <c r="T9" s="6" t="s">
        <v>109</v>
      </c>
      <c r="U9" s="6"/>
      <c r="V9" s="6"/>
      <c r="W9" s="6"/>
      <c r="X9" s="6"/>
      <c r="Y9" s="6" t="s">
        <v>110</v>
      </c>
    </row>
    <row r="10" ht="33.05" customHeight="1" spans="1:25">
      <c r="A10" s="6" t="s">
        <v>111</v>
      </c>
      <c r="B10" s="7" t="s">
        <v>111</v>
      </c>
      <c r="C10" s="8"/>
      <c r="D10" s="6">
        <v>0</v>
      </c>
      <c r="E10" s="6">
        <v>1</v>
      </c>
      <c r="F10" s="9" t="s">
        <v>112</v>
      </c>
      <c r="G10" s="6" t="str">
        <f t="shared" si="0"/>
        <v>北海道函館市尾札部町1945-3</v>
      </c>
      <c r="H10" s="6" t="s">
        <v>113</v>
      </c>
      <c r="I10" s="6" t="s">
        <v>114</v>
      </c>
      <c r="J10" s="6" t="s">
        <v>104</v>
      </c>
      <c r="K10" s="6" t="str">
        <f t="shared" si="1"/>
        <v> 神奈川県川崎市高津区下作延２－２２－５クレイノアクアパレス２０５</v>
      </c>
      <c r="L10" s="6"/>
      <c r="M10" s="6" t="s">
        <v>105</v>
      </c>
      <c r="N10" s="12" t="s">
        <v>31</v>
      </c>
      <c r="O10" s="6" t="s">
        <v>115</v>
      </c>
      <c r="P10" s="6"/>
      <c r="Q10" s="6" t="s">
        <v>111</v>
      </c>
      <c r="R10" s="6" t="s">
        <v>77</v>
      </c>
      <c r="S10" s="6" t="s">
        <v>116</v>
      </c>
      <c r="T10" s="6" t="s">
        <v>117</v>
      </c>
      <c r="U10" s="6"/>
      <c r="V10" s="6"/>
      <c r="W10" s="6"/>
      <c r="X10" s="6"/>
      <c r="Y10" s="6" t="s">
        <v>110</v>
      </c>
    </row>
    <row r="11" ht="33.05" customHeight="1" spans="1:25">
      <c r="A11" s="6" t="s">
        <v>118</v>
      </c>
      <c r="B11" s="7" t="s">
        <v>118</v>
      </c>
      <c r="C11" s="8"/>
      <c r="D11" s="6">
        <v>0</v>
      </c>
      <c r="E11" s="6">
        <v>1</v>
      </c>
      <c r="F11" s="9" t="s">
        <v>119</v>
      </c>
      <c r="G11" s="6" t="str">
        <f t="shared" si="0"/>
        <v>神奈川県横浜市青葉区しらとり台62-1 Novem しらとり台 9</v>
      </c>
      <c r="H11" s="6" t="s">
        <v>120</v>
      </c>
      <c r="I11" s="6" t="s">
        <v>121</v>
      </c>
      <c r="J11" s="6" t="s">
        <v>122</v>
      </c>
      <c r="K11" s="6" t="str">
        <f t="shared" si="1"/>
        <v> 上野芝町2－5－1－５０７</v>
      </c>
      <c r="L11" s="6"/>
      <c r="M11" s="6" t="s">
        <v>123</v>
      </c>
      <c r="N11" s="12" t="s">
        <v>31</v>
      </c>
      <c r="O11" s="6" t="s">
        <v>124</v>
      </c>
      <c r="P11" s="6"/>
      <c r="Q11" s="6" t="s">
        <v>118</v>
      </c>
      <c r="R11" s="6" t="s">
        <v>64</v>
      </c>
      <c r="S11" s="6" t="s">
        <v>125</v>
      </c>
      <c r="T11" s="6" t="s">
        <v>126</v>
      </c>
      <c r="U11" s="6"/>
      <c r="V11" s="6"/>
      <c r="W11" s="6"/>
      <c r="X11" s="6"/>
      <c r="Y11" s="6" t="s">
        <v>127</v>
      </c>
    </row>
    <row r="12" ht="33.05" customHeight="1" spans="1:25">
      <c r="A12" s="6" t="s">
        <v>128</v>
      </c>
      <c r="B12" s="7" t="s">
        <v>128</v>
      </c>
      <c r="C12" s="8"/>
      <c r="D12" s="6">
        <v>0</v>
      </c>
      <c r="E12" s="6">
        <v>1</v>
      </c>
      <c r="F12" s="9" t="s">
        <v>129</v>
      </c>
      <c r="G12" s="6" t="str">
        <f t="shared" si="0"/>
        <v>東京都千代田区神田神保町1-2</v>
      </c>
      <c r="H12" s="6" t="s">
        <v>130</v>
      </c>
      <c r="I12" s="6" t="s">
        <v>131</v>
      </c>
      <c r="J12" s="6" t="s">
        <v>132</v>
      </c>
      <c r="K12" s="6" t="str">
        <f t="shared" si="1"/>
        <v> 東京都品川区平塚1-13-1</v>
      </c>
      <c r="L12" s="6"/>
      <c r="M12" s="6" t="s">
        <v>133</v>
      </c>
      <c r="N12" s="12" t="s">
        <v>31</v>
      </c>
      <c r="O12" s="6" t="s">
        <v>63</v>
      </c>
      <c r="P12" s="6"/>
      <c r="Q12" s="6" t="s">
        <v>128</v>
      </c>
      <c r="R12" s="6" t="s">
        <v>33</v>
      </c>
      <c r="S12" s="6" t="s">
        <v>134</v>
      </c>
      <c r="T12" s="6" t="s">
        <v>135</v>
      </c>
      <c r="U12" s="6"/>
      <c r="V12" s="6"/>
      <c r="W12" s="6"/>
      <c r="X12" s="6"/>
      <c r="Y12" s="6" t="s">
        <v>136</v>
      </c>
    </row>
    <row r="13" ht="33.05" customHeight="1" spans="1:25">
      <c r="A13" s="6" t="s">
        <v>137</v>
      </c>
      <c r="B13" s="7" t="s">
        <v>137</v>
      </c>
      <c r="C13" s="8"/>
      <c r="D13" s="6">
        <v>0</v>
      </c>
      <c r="E13" s="6">
        <v>1</v>
      </c>
      <c r="F13" s="9" t="s">
        <v>138</v>
      </c>
      <c r="G13" s="6" t="str">
        <f t="shared" si="0"/>
        <v>東京都新宿区西新宿7丁目1-12　 Crossoffice新宿705</v>
      </c>
      <c r="H13" s="6" t="s">
        <v>139</v>
      </c>
      <c r="I13" s="6" t="s">
        <v>140</v>
      </c>
      <c r="J13" s="6"/>
      <c r="K13" s="6" t="str">
        <f t="shared" si="1"/>
        <v> </v>
      </c>
      <c r="L13" s="6"/>
      <c r="M13" s="6" t="s">
        <v>54</v>
      </c>
      <c r="N13" s="12" t="s">
        <v>31</v>
      </c>
      <c r="O13" s="6" t="s">
        <v>141</v>
      </c>
      <c r="P13" s="6"/>
      <c r="Q13" s="6" t="s">
        <v>137</v>
      </c>
      <c r="R13" s="6"/>
      <c r="S13" s="6"/>
      <c r="T13" s="6" t="s">
        <v>142</v>
      </c>
      <c r="U13" s="6"/>
      <c r="V13" s="6"/>
      <c r="W13" s="6"/>
      <c r="X13" s="6"/>
      <c r="Y13" s="6" t="s">
        <v>54</v>
      </c>
    </row>
    <row r="14" ht="33.05" customHeight="1" spans="1:25">
      <c r="A14" s="6" t="s">
        <v>143</v>
      </c>
      <c r="B14" s="7" t="s">
        <v>143</v>
      </c>
      <c r="C14" s="8"/>
      <c r="D14" s="6">
        <v>0</v>
      </c>
      <c r="E14" s="6">
        <v>1</v>
      </c>
      <c r="F14" s="9" t="s">
        <v>144</v>
      </c>
      <c r="G14" s="6" t="str">
        <f t="shared" si="0"/>
        <v>神奈川県横浜市青葉区黒須田31-52</v>
      </c>
      <c r="H14" s="6" t="s">
        <v>145</v>
      </c>
      <c r="I14" s="6" t="s">
        <v>146</v>
      </c>
      <c r="J14" s="6" t="s">
        <v>147</v>
      </c>
      <c r="K14" s="6" t="str">
        <f t="shared" si="1"/>
        <v> 大阪市西成区3丁目5番14号FDS ENISHI303</v>
      </c>
      <c r="L14" s="6"/>
      <c r="M14" s="6" t="s">
        <v>148</v>
      </c>
      <c r="N14" s="12" t="s">
        <v>31</v>
      </c>
      <c r="O14" s="6" t="s">
        <v>149</v>
      </c>
      <c r="P14" s="6"/>
      <c r="Q14" s="6" t="s">
        <v>143</v>
      </c>
      <c r="R14" s="6" t="s">
        <v>64</v>
      </c>
      <c r="S14" s="6" t="s">
        <v>65</v>
      </c>
      <c r="T14" s="6" t="s">
        <v>150</v>
      </c>
      <c r="U14" s="6"/>
      <c r="V14" s="6"/>
      <c r="W14" s="6"/>
      <c r="X14" s="6"/>
      <c r="Y14" s="6" t="s">
        <v>151</v>
      </c>
    </row>
    <row r="15" ht="33.05" customHeight="1" spans="1:25">
      <c r="A15" s="6" t="s">
        <v>152</v>
      </c>
      <c r="B15" s="7" t="s">
        <v>152</v>
      </c>
      <c r="C15" s="8"/>
      <c r="D15" s="6">
        <v>0</v>
      </c>
      <c r="E15" s="6">
        <v>1</v>
      </c>
      <c r="F15" s="9" t="s">
        <v>153</v>
      </c>
      <c r="G15" s="6" t="str">
        <f t="shared" si="0"/>
        <v>静岡県島田市大代1649番地の1</v>
      </c>
      <c r="H15" s="6" t="s">
        <v>154</v>
      </c>
      <c r="I15" s="6" t="s">
        <v>155</v>
      </c>
      <c r="J15" s="6" t="s">
        <v>47</v>
      </c>
      <c r="K15" s="6" t="str">
        <f t="shared" si="1"/>
        <v>大阪府堺市 中百舌鳥町6丁目１００１-5盲亀浮木の店</v>
      </c>
      <c r="L15" s="6"/>
      <c r="M15" s="6" t="s">
        <v>156</v>
      </c>
      <c r="N15" s="12" t="s">
        <v>31</v>
      </c>
      <c r="O15" s="6" t="s">
        <v>157</v>
      </c>
      <c r="P15" s="6"/>
      <c r="Q15" s="6" t="s">
        <v>152</v>
      </c>
      <c r="R15" s="6" t="s">
        <v>158</v>
      </c>
      <c r="S15" s="6" t="s">
        <v>159</v>
      </c>
      <c r="T15" s="6" t="s">
        <v>160</v>
      </c>
      <c r="U15" s="6" t="s">
        <v>47</v>
      </c>
      <c r="V15" s="6" t="s">
        <v>47</v>
      </c>
      <c r="W15" s="6" t="s">
        <v>161</v>
      </c>
      <c r="X15" s="6" t="s">
        <v>162</v>
      </c>
      <c r="Y15" s="6" t="s">
        <v>163</v>
      </c>
    </row>
    <row r="16" ht="33.05" customHeight="1" spans="1:25">
      <c r="A16" s="6" t="s">
        <v>164</v>
      </c>
      <c r="B16" s="7" t="s">
        <v>164</v>
      </c>
      <c r="C16" s="8"/>
      <c r="D16" s="6">
        <v>0</v>
      </c>
      <c r="E16" s="6">
        <v>1</v>
      </c>
      <c r="F16" s="9" t="s">
        <v>165</v>
      </c>
      <c r="G16" s="6" t="str">
        <f t="shared" si="0"/>
        <v>群馬県太田市09081116263新田下田中町373-1 東亜工業株式会社 住宅事業部 業務部 業務課 八木和佳宛</v>
      </c>
      <c r="H16" s="6" t="s">
        <v>166</v>
      </c>
      <c r="I16" s="6" t="s">
        <v>167</v>
      </c>
      <c r="J16" s="6" t="s">
        <v>74</v>
      </c>
      <c r="K16" s="6" t="str">
        <f t="shared" si="1"/>
        <v> 東京都大田区上池台３－２４－１４スターハイツ洗足池２　２０２</v>
      </c>
      <c r="L16" s="6"/>
      <c r="M16" s="6" t="s">
        <v>75</v>
      </c>
      <c r="N16" s="12" t="s">
        <v>31</v>
      </c>
      <c r="O16" s="6" t="s">
        <v>168</v>
      </c>
      <c r="P16" s="6"/>
      <c r="Q16" s="6" t="s">
        <v>164</v>
      </c>
      <c r="R16" s="6" t="s">
        <v>169</v>
      </c>
      <c r="S16" s="6" t="s">
        <v>170</v>
      </c>
      <c r="T16" s="6" t="s">
        <v>171</v>
      </c>
      <c r="U16" s="6"/>
      <c r="V16" s="6"/>
      <c r="W16" s="6"/>
      <c r="X16" s="6"/>
      <c r="Y16" s="6" t="s">
        <v>80</v>
      </c>
    </row>
    <row r="17" ht="33.05" customHeight="1" spans="1:25">
      <c r="A17" s="6" t="s">
        <v>172</v>
      </c>
      <c r="B17" s="7" t="s">
        <v>172</v>
      </c>
      <c r="C17" s="8"/>
      <c r="D17" s="6">
        <v>0</v>
      </c>
      <c r="E17" s="6">
        <v>1</v>
      </c>
      <c r="F17" s="9" t="s">
        <v>173</v>
      </c>
      <c r="G17" s="6" t="str">
        <f t="shared" si="0"/>
        <v>広島県東広島市西条町御薗宇5288-1 ロンディネA204</v>
      </c>
      <c r="H17" s="6" t="s">
        <v>174</v>
      </c>
      <c r="I17" s="6" t="s">
        <v>175</v>
      </c>
      <c r="J17" s="6" t="s">
        <v>85</v>
      </c>
      <c r="K17" s="6" t="str">
        <f t="shared" si="1"/>
        <v> 滋賀県甲賀市甲南町野尻558</v>
      </c>
      <c r="L17" s="6"/>
      <c r="M17" s="6" t="s">
        <v>86</v>
      </c>
      <c r="N17" s="12" t="s">
        <v>31</v>
      </c>
      <c r="O17" s="6" t="s">
        <v>176</v>
      </c>
      <c r="P17" s="6"/>
      <c r="Q17" s="6" t="s">
        <v>172</v>
      </c>
      <c r="R17" s="6" t="s">
        <v>177</v>
      </c>
      <c r="S17" s="6" t="s">
        <v>178</v>
      </c>
      <c r="T17" s="6" t="s">
        <v>179</v>
      </c>
      <c r="U17" s="6"/>
      <c r="V17" s="6"/>
      <c r="W17" s="6"/>
      <c r="X17" s="6"/>
      <c r="Y17" s="6" t="s">
        <v>91</v>
      </c>
    </row>
    <row r="18" ht="33.05" customHeight="1" spans="1:25">
      <c r="A18" s="6" t="s">
        <v>180</v>
      </c>
      <c r="B18" s="7" t="s">
        <v>180</v>
      </c>
      <c r="C18" s="8"/>
      <c r="D18" s="6">
        <v>0</v>
      </c>
      <c r="E18" s="6">
        <v>1</v>
      </c>
      <c r="F18" s="9" t="s">
        <v>181</v>
      </c>
      <c r="G18" s="6" t="str">
        <f t="shared" si="0"/>
        <v>北海道札幌市中央区南十四条西18丁目5-27 グランエスセーナ701</v>
      </c>
      <c r="H18" s="6" t="s">
        <v>182</v>
      </c>
      <c r="I18" s="6" t="s">
        <v>183</v>
      </c>
      <c r="J18" s="6" t="s">
        <v>184</v>
      </c>
      <c r="K18" s="6" t="str">
        <f t="shared" si="1"/>
        <v> 大阪府大阪市中央区安堂寺町2-1-3-901</v>
      </c>
      <c r="L18" s="6"/>
      <c r="M18" s="6" t="s">
        <v>185</v>
      </c>
      <c r="N18" s="12" t="s">
        <v>31</v>
      </c>
      <c r="O18" s="6" t="s">
        <v>186</v>
      </c>
      <c r="P18" s="6"/>
      <c r="Q18" s="6" t="s">
        <v>180</v>
      </c>
      <c r="R18" s="6" t="s">
        <v>77</v>
      </c>
      <c r="S18" s="6" t="s">
        <v>187</v>
      </c>
      <c r="T18" s="6" t="s">
        <v>188</v>
      </c>
      <c r="U18" s="6"/>
      <c r="V18" s="6"/>
      <c r="W18" s="6"/>
      <c r="X18" s="6"/>
      <c r="Y18" s="6" t="s">
        <v>189</v>
      </c>
    </row>
    <row r="19" ht="33.05" customHeight="1" spans="1:25">
      <c r="A19" s="6" t="s">
        <v>190</v>
      </c>
      <c r="B19" s="7" t="s">
        <v>190</v>
      </c>
      <c r="C19" s="8"/>
      <c r="D19" s="6">
        <v>0</v>
      </c>
      <c r="E19" s="6">
        <v>1</v>
      </c>
      <c r="F19" s="9" t="s">
        <v>191</v>
      </c>
      <c r="G19" s="6" t="str">
        <f t="shared" si="0"/>
        <v>秋田県秋田市桜ガ丘3丁目7-15</v>
      </c>
      <c r="H19" s="6" t="s">
        <v>192</v>
      </c>
      <c r="I19" s="6" t="s">
        <v>193</v>
      </c>
      <c r="J19" s="6" t="s">
        <v>194</v>
      </c>
      <c r="K19" s="6" t="str">
        <f t="shared" si="1"/>
        <v> 山形県山形市上町２－９－５</v>
      </c>
      <c r="L19" s="6"/>
      <c r="M19" s="6" t="s">
        <v>86</v>
      </c>
      <c r="N19" s="12" t="s">
        <v>31</v>
      </c>
      <c r="O19" s="6" t="s">
        <v>195</v>
      </c>
      <c r="P19" s="6"/>
      <c r="Q19" s="6" t="s">
        <v>190</v>
      </c>
      <c r="R19" s="6" t="s">
        <v>196</v>
      </c>
      <c r="S19" s="6" t="s">
        <v>197</v>
      </c>
      <c r="T19" s="6" t="s">
        <v>198</v>
      </c>
      <c r="U19" s="6"/>
      <c r="V19" s="6"/>
      <c r="W19" s="6"/>
      <c r="X19" s="6"/>
      <c r="Y19" s="6" t="s">
        <v>199</v>
      </c>
    </row>
    <row r="20" ht="33.05" hidden="1" customHeight="1" spans="1:25">
      <c r="A20" s="6" t="s">
        <v>200</v>
      </c>
      <c r="B20" s="7" t="s">
        <v>200</v>
      </c>
      <c r="C20" s="8">
        <v>46008</v>
      </c>
      <c r="D20" s="6">
        <v>16</v>
      </c>
      <c r="E20" s="6">
        <v>1</v>
      </c>
      <c r="F20" s="9" t="s">
        <v>201</v>
      </c>
      <c r="G20" s="6" t="str">
        <f t="shared" si="0"/>
        <v>静岡県浜松市中央区雄踏1丁目7-20</v>
      </c>
      <c r="H20" s="6" t="s">
        <v>202</v>
      </c>
      <c r="I20" s="6" t="s">
        <v>203</v>
      </c>
      <c r="J20" s="6" t="s">
        <v>85</v>
      </c>
      <c r="K20" s="6" t="str">
        <f t="shared" si="1"/>
        <v> 滋賀県甲賀市甲南町野尻558</v>
      </c>
      <c r="L20" s="6"/>
      <c r="M20" s="6" t="s">
        <v>86</v>
      </c>
      <c r="N20" s="12" t="s">
        <v>31</v>
      </c>
      <c r="O20" s="6" t="s">
        <v>204</v>
      </c>
      <c r="P20" s="6"/>
      <c r="Q20" s="6" t="s">
        <v>200</v>
      </c>
      <c r="R20" s="6" t="s">
        <v>158</v>
      </c>
      <c r="S20" s="6" t="s">
        <v>205</v>
      </c>
      <c r="T20" s="6" t="s">
        <v>206</v>
      </c>
      <c r="U20" s="6"/>
      <c r="V20" s="6"/>
      <c r="W20" s="6"/>
      <c r="X20" s="6"/>
      <c r="Y20" s="6" t="s">
        <v>91</v>
      </c>
    </row>
    <row r="21" ht="33.05" hidden="1" customHeight="1" spans="1:25">
      <c r="A21" s="6" t="s">
        <v>207</v>
      </c>
      <c r="B21" s="7" t="s">
        <v>207</v>
      </c>
      <c r="C21" s="8">
        <v>46013</v>
      </c>
      <c r="D21" s="6">
        <v>14</v>
      </c>
      <c r="E21" s="6">
        <v>1</v>
      </c>
      <c r="F21" s="9" t="s">
        <v>208</v>
      </c>
      <c r="G21" s="6" t="str">
        <f t="shared" si="0"/>
        <v>大阪府大阪市阿倍野区松虫通2-4-4</v>
      </c>
      <c r="H21" s="6" t="s">
        <v>209</v>
      </c>
      <c r="I21" s="6" t="s">
        <v>210</v>
      </c>
      <c r="J21" s="6" t="s">
        <v>85</v>
      </c>
      <c r="K21" s="6" t="str">
        <f t="shared" si="1"/>
        <v> 滋賀県甲賀市甲南町野尻558</v>
      </c>
      <c r="L21" s="6"/>
      <c r="M21" s="6" t="s">
        <v>86</v>
      </c>
      <c r="N21" s="12" t="s">
        <v>31</v>
      </c>
      <c r="O21" s="6" t="s">
        <v>211</v>
      </c>
      <c r="P21" s="6"/>
      <c r="Q21" s="6" t="s">
        <v>207</v>
      </c>
      <c r="R21" s="6" t="s">
        <v>161</v>
      </c>
      <c r="S21" s="6" t="s">
        <v>212</v>
      </c>
      <c r="T21" s="6" t="s">
        <v>213</v>
      </c>
      <c r="U21" s="6"/>
      <c r="V21" s="6"/>
      <c r="W21" s="6"/>
      <c r="X21" s="6"/>
      <c r="Y21" s="6" t="s">
        <v>91</v>
      </c>
    </row>
    <row r="22" ht="33.05" customHeight="1" spans="1:25">
      <c r="A22" s="6" t="s">
        <v>214</v>
      </c>
      <c r="B22" s="7" t="s">
        <v>214</v>
      </c>
      <c r="C22" s="8"/>
      <c r="D22" s="6">
        <v>0</v>
      </c>
      <c r="E22" s="6">
        <v>1</v>
      </c>
      <c r="F22" s="9" t="s">
        <v>215</v>
      </c>
      <c r="G22" s="6" t="str">
        <f t="shared" si="0"/>
        <v>埼玉県入間市新久936-14</v>
      </c>
      <c r="H22" s="6" t="s">
        <v>216</v>
      </c>
      <c r="I22" s="6" t="s">
        <v>217</v>
      </c>
      <c r="J22" s="6" t="s">
        <v>194</v>
      </c>
      <c r="K22" s="6" t="str">
        <f t="shared" si="1"/>
        <v> 山形県山形市上町２－９－５</v>
      </c>
      <c r="L22" s="6"/>
      <c r="M22" s="6" t="s">
        <v>86</v>
      </c>
      <c r="N22" s="12" t="s">
        <v>31</v>
      </c>
      <c r="O22" s="6" t="s">
        <v>218</v>
      </c>
      <c r="P22" s="6"/>
      <c r="Q22" s="6" t="s">
        <v>214</v>
      </c>
      <c r="R22" s="6" t="s">
        <v>219</v>
      </c>
      <c r="S22" s="6" t="s">
        <v>220</v>
      </c>
      <c r="T22" s="6" t="s">
        <v>221</v>
      </c>
      <c r="U22" s="6"/>
      <c r="V22" s="6"/>
      <c r="W22" s="6"/>
      <c r="X22" s="6"/>
      <c r="Y22" s="6" t="s">
        <v>199</v>
      </c>
    </row>
    <row r="23" ht="33.05" customHeight="1" spans="1:25">
      <c r="A23" s="6" t="s">
        <v>222</v>
      </c>
      <c r="B23" s="7" t="s">
        <v>222</v>
      </c>
      <c r="C23" s="8"/>
      <c r="D23" s="6">
        <v>0</v>
      </c>
      <c r="E23" s="6">
        <v>1</v>
      </c>
      <c r="F23" s="9" t="s">
        <v>223</v>
      </c>
      <c r="G23" s="6" t="str">
        <f t="shared" si="0"/>
        <v>北海道標津郡中標津町東21条南9丁目10番地17</v>
      </c>
      <c r="H23" s="6" t="s">
        <v>224</v>
      </c>
      <c r="I23" s="6" t="s">
        <v>225</v>
      </c>
      <c r="J23" s="6" t="s">
        <v>226</v>
      </c>
      <c r="K23" s="6" t="str">
        <f t="shared" si="1"/>
        <v> 東京都西多摩郡奥多摩町留浦１０１８</v>
      </c>
      <c r="L23" s="6"/>
      <c r="M23" s="6" t="s">
        <v>227</v>
      </c>
      <c r="N23" s="12" t="s">
        <v>31</v>
      </c>
      <c r="O23" s="6" t="s">
        <v>228</v>
      </c>
      <c r="P23" s="6"/>
      <c r="Q23" s="6" t="s">
        <v>222</v>
      </c>
      <c r="R23" s="6" t="s">
        <v>77</v>
      </c>
      <c r="S23" s="6" t="s">
        <v>229</v>
      </c>
      <c r="T23" s="6" t="s">
        <v>230</v>
      </c>
      <c r="U23" s="6"/>
      <c r="V23" s="6"/>
      <c r="W23" s="6"/>
      <c r="X23" s="6"/>
      <c r="Y23" s="6" t="s">
        <v>231</v>
      </c>
    </row>
    <row r="24" ht="33.05" hidden="1" customHeight="1" spans="1:25">
      <c r="A24" s="6" t="s">
        <v>232</v>
      </c>
      <c r="B24" s="7" t="s">
        <v>232</v>
      </c>
      <c r="C24" s="8"/>
      <c r="D24" s="6">
        <v>14</v>
      </c>
      <c r="E24" s="6">
        <v>1</v>
      </c>
      <c r="F24" s="9" t="s">
        <v>233</v>
      </c>
      <c r="G24" s="6" t="str">
        <f t="shared" si="0"/>
        <v>北海道札幌市中央区南二条西6-5-3住友狸小路プラザハウス1階せいす</v>
      </c>
      <c r="H24" s="6" t="s">
        <v>234</v>
      </c>
      <c r="I24" s="6" t="s">
        <v>235</v>
      </c>
      <c r="J24" s="6" t="s">
        <v>194</v>
      </c>
      <c r="K24" s="6" t="str">
        <f t="shared" si="1"/>
        <v> 山形県山形市上町２－９－５</v>
      </c>
      <c r="L24" s="6"/>
      <c r="M24" s="6" t="s">
        <v>86</v>
      </c>
      <c r="N24" s="12" t="s">
        <v>31</v>
      </c>
      <c r="O24" s="6" t="s">
        <v>236</v>
      </c>
      <c r="P24" s="6"/>
      <c r="Q24" s="6" t="s">
        <v>232</v>
      </c>
      <c r="R24" s="6" t="s">
        <v>77</v>
      </c>
      <c r="S24" s="6" t="s">
        <v>187</v>
      </c>
      <c r="T24" s="6" t="s">
        <v>237</v>
      </c>
      <c r="U24" s="6"/>
      <c r="V24" s="6"/>
      <c r="W24" s="6"/>
      <c r="X24" s="6"/>
      <c r="Y24" s="6" t="s">
        <v>199</v>
      </c>
    </row>
    <row r="25" ht="33.05" customHeight="1" spans="1:25">
      <c r="A25" s="6" t="s">
        <v>238</v>
      </c>
      <c r="B25" s="7" t="s">
        <v>238</v>
      </c>
      <c r="C25" s="8"/>
      <c r="D25" s="6">
        <v>0</v>
      </c>
      <c r="E25" s="6">
        <v>1</v>
      </c>
      <c r="F25" s="9" t="s">
        <v>239</v>
      </c>
      <c r="G25" s="6" t="str">
        <f t="shared" si="0"/>
        <v>東京都豊島区東池袋5丁目8-5 602号</v>
      </c>
      <c r="H25" s="6" t="s">
        <v>240</v>
      </c>
      <c r="I25" s="6" t="s">
        <v>241</v>
      </c>
      <c r="J25" s="6" t="s">
        <v>226</v>
      </c>
      <c r="K25" s="6" t="str">
        <f t="shared" si="1"/>
        <v> 東京都西多摩郡奥多摩町留浦１０１８</v>
      </c>
      <c r="L25" s="6"/>
      <c r="M25" s="6" t="s">
        <v>227</v>
      </c>
      <c r="N25" s="12" t="s">
        <v>31</v>
      </c>
      <c r="O25" s="6" t="s">
        <v>242</v>
      </c>
      <c r="P25" s="6"/>
      <c r="Q25" s="6" t="s">
        <v>238</v>
      </c>
      <c r="R25" s="6" t="s">
        <v>33</v>
      </c>
      <c r="S25" s="6" t="s">
        <v>243</v>
      </c>
      <c r="T25" s="6" t="s">
        <v>244</v>
      </c>
      <c r="U25" s="6"/>
      <c r="V25" s="6"/>
      <c r="W25" s="6"/>
      <c r="X25" s="6"/>
      <c r="Y25" s="6" t="s">
        <v>231</v>
      </c>
    </row>
    <row r="26" ht="33.05" customHeight="1" spans="1:25">
      <c r="A26" s="6" t="s">
        <v>245</v>
      </c>
      <c r="B26" s="7" t="s">
        <v>245</v>
      </c>
      <c r="C26" s="8"/>
      <c r="D26" s="6">
        <v>0</v>
      </c>
      <c r="E26" s="6">
        <v>1</v>
      </c>
      <c r="F26" s="9" t="s">
        <v>246</v>
      </c>
      <c r="G26" s="6" t="str">
        <f t="shared" si="0"/>
        <v>岩手県一関市沢297-14村上商会</v>
      </c>
      <c r="H26" s="6" t="s">
        <v>247</v>
      </c>
      <c r="I26" s="6" t="s">
        <v>248</v>
      </c>
      <c r="J26" s="6" t="s">
        <v>85</v>
      </c>
      <c r="K26" s="6" t="str">
        <f t="shared" si="1"/>
        <v> 滋賀県甲賀市甲南町野尻558</v>
      </c>
      <c r="L26" s="6"/>
      <c r="M26" s="6" t="s">
        <v>86</v>
      </c>
      <c r="N26" s="12" t="s">
        <v>31</v>
      </c>
      <c r="O26" s="6" t="s">
        <v>249</v>
      </c>
      <c r="P26" s="6"/>
      <c r="Q26" s="6" t="s">
        <v>245</v>
      </c>
      <c r="R26" s="6" t="s">
        <v>250</v>
      </c>
      <c r="S26" s="6" t="s">
        <v>251</v>
      </c>
      <c r="T26" s="6" t="s">
        <v>252</v>
      </c>
      <c r="U26" s="6"/>
      <c r="V26" s="6"/>
      <c r="W26" s="6"/>
      <c r="X26" s="6"/>
      <c r="Y26" s="6" t="s">
        <v>91</v>
      </c>
    </row>
    <row r="27" ht="33.05" customHeight="1" spans="1:25">
      <c r="A27" s="6" t="s">
        <v>253</v>
      </c>
      <c r="B27" s="7" t="s">
        <v>253</v>
      </c>
      <c r="C27" s="8"/>
      <c r="D27" s="6">
        <v>0</v>
      </c>
      <c r="E27" s="6">
        <v>1</v>
      </c>
      <c r="F27" s="9" t="s">
        <v>254</v>
      </c>
      <c r="G27" s="6" t="str">
        <f t="shared" si="0"/>
        <v>神奈川県川崎市幸区河原町 河原町団地13号棟223番</v>
      </c>
      <c r="H27" s="6" t="s">
        <v>255</v>
      </c>
      <c r="I27" s="6" t="s">
        <v>256</v>
      </c>
      <c r="J27" s="6"/>
      <c r="K27" s="6" t="str">
        <f t="shared" si="1"/>
        <v> </v>
      </c>
      <c r="L27" s="6"/>
      <c r="M27" s="6" t="s">
        <v>54</v>
      </c>
      <c r="N27" s="12" t="s">
        <v>31</v>
      </c>
      <c r="O27" s="6" t="s">
        <v>257</v>
      </c>
      <c r="P27" s="6"/>
      <c r="Q27" s="6" t="s">
        <v>253</v>
      </c>
      <c r="R27" s="6"/>
      <c r="S27" s="6"/>
      <c r="T27" s="6" t="s">
        <v>258</v>
      </c>
      <c r="U27" s="6"/>
      <c r="V27" s="6"/>
      <c r="W27" s="6"/>
      <c r="X27" s="6"/>
      <c r="Y27" s="6" t="s">
        <v>54</v>
      </c>
    </row>
    <row r="28" ht="33.05" customHeight="1" spans="1:25">
      <c r="A28" s="6" t="s">
        <v>259</v>
      </c>
      <c r="B28" s="7" t="s">
        <v>259</v>
      </c>
      <c r="C28" s="8"/>
      <c r="D28" s="6">
        <v>0</v>
      </c>
      <c r="E28" s="6">
        <v>1</v>
      </c>
      <c r="F28" s="9" t="s">
        <v>138</v>
      </c>
      <c r="G28" s="6" t="str">
        <f t="shared" si="0"/>
        <v>東京都新宿区西新宿7丁目1-12　 Crossoffice新宿705</v>
      </c>
      <c r="H28" s="6" t="s">
        <v>139</v>
      </c>
      <c r="I28" s="6" t="s">
        <v>140</v>
      </c>
      <c r="J28" s="6"/>
      <c r="K28" s="6" t="str">
        <f t="shared" si="1"/>
        <v> </v>
      </c>
      <c r="L28" s="6"/>
      <c r="M28" s="6" t="s">
        <v>54</v>
      </c>
      <c r="N28" s="12" t="s">
        <v>31</v>
      </c>
      <c r="O28" s="6" t="s">
        <v>260</v>
      </c>
      <c r="P28" s="6"/>
      <c r="Q28" s="6" t="s">
        <v>259</v>
      </c>
      <c r="R28" s="6"/>
      <c r="S28" s="6"/>
      <c r="T28" s="6" t="s">
        <v>142</v>
      </c>
      <c r="U28" s="6"/>
      <c r="V28" s="6"/>
      <c r="W28" s="6"/>
      <c r="X28" s="6"/>
      <c r="Y28" s="6" t="s">
        <v>54</v>
      </c>
    </row>
    <row r="29" ht="33.05" hidden="1" customHeight="1" spans="1:25">
      <c r="A29" s="6" t="s">
        <v>261</v>
      </c>
      <c r="B29" s="7" t="s">
        <v>261</v>
      </c>
      <c r="C29" s="8">
        <v>46012</v>
      </c>
      <c r="D29" s="6">
        <v>18</v>
      </c>
      <c r="E29" s="6">
        <v>1</v>
      </c>
      <c r="F29" s="9" t="s">
        <v>262</v>
      </c>
      <c r="G29" s="6" t="str">
        <f t="shared" si="0"/>
        <v>東京都府中市南町1-47-1シルキーパレス103</v>
      </c>
      <c r="H29" s="6" t="s">
        <v>263</v>
      </c>
      <c r="I29" s="6" t="s">
        <v>264</v>
      </c>
      <c r="J29" s="6" t="s">
        <v>226</v>
      </c>
      <c r="K29" s="6" t="str">
        <f t="shared" si="1"/>
        <v> 東京都西多摩郡奥多摩町留浦１０１８</v>
      </c>
      <c r="L29" s="6"/>
      <c r="M29" s="6" t="s">
        <v>227</v>
      </c>
      <c r="N29" s="12" t="s">
        <v>31</v>
      </c>
      <c r="O29" s="6" t="s">
        <v>265</v>
      </c>
      <c r="P29" s="6"/>
      <c r="Q29" s="6" t="s">
        <v>261</v>
      </c>
      <c r="R29" s="6" t="s">
        <v>33</v>
      </c>
      <c r="S29" s="6" t="s">
        <v>266</v>
      </c>
      <c r="T29" s="6" t="s">
        <v>267</v>
      </c>
      <c r="U29" s="6"/>
      <c r="V29" s="6"/>
      <c r="W29" s="6"/>
      <c r="X29" s="6"/>
      <c r="Y29" s="6" t="s">
        <v>231</v>
      </c>
    </row>
    <row r="30" ht="33.05" customHeight="1" spans="1:25">
      <c r="A30" s="6" t="s">
        <v>268</v>
      </c>
      <c r="B30" s="7" t="s">
        <v>268</v>
      </c>
      <c r="C30" s="8"/>
      <c r="D30" s="6">
        <v>0</v>
      </c>
      <c r="E30" s="6">
        <v>1</v>
      </c>
      <c r="F30" s="9" t="s">
        <v>269</v>
      </c>
      <c r="G30" s="6" t="str">
        <f t="shared" si="0"/>
        <v>北海道釧路市桜ケ岡7-7-7</v>
      </c>
      <c r="H30" s="6" t="s">
        <v>270</v>
      </c>
      <c r="I30" s="6" t="s">
        <v>271</v>
      </c>
      <c r="J30" s="6" t="s">
        <v>47</v>
      </c>
      <c r="K30" s="6" t="str">
        <f t="shared" si="1"/>
        <v>大阪府堺市 中百舌鳥町6丁目１００１-5盲亀浮木の店</v>
      </c>
      <c r="L30" s="6"/>
      <c r="M30" s="6" t="s">
        <v>156</v>
      </c>
      <c r="N30" s="12" t="s">
        <v>31</v>
      </c>
      <c r="O30" s="6" t="s">
        <v>272</v>
      </c>
      <c r="P30" s="6"/>
      <c r="Q30" s="6" t="s">
        <v>268</v>
      </c>
      <c r="R30" s="6" t="s">
        <v>77</v>
      </c>
      <c r="S30" s="6" t="s">
        <v>273</v>
      </c>
      <c r="T30" s="6" t="s">
        <v>274</v>
      </c>
      <c r="U30" s="6" t="s">
        <v>47</v>
      </c>
      <c r="V30" s="6" t="s">
        <v>47</v>
      </c>
      <c r="W30" s="6" t="s">
        <v>161</v>
      </c>
      <c r="X30" s="6" t="s">
        <v>162</v>
      </c>
      <c r="Y30" s="6" t="s">
        <v>163</v>
      </c>
    </row>
    <row r="31" ht="33.05" customHeight="1" spans="1:25">
      <c r="A31" s="6" t="s">
        <v>275</v>
      </c>
      <c r="B31" s="7" t="s">
        <v>275</v>
      </c>
      <c r="C31" s="8"/>
      <c r="D31" s="6">
        <v>0</v>
      </c>
      <c r="E31" s="6">
        <v>1</v>
      </c>
      <c r="F31" s="9" t="s">
        <v>276</v>
      </c>
      <c r="G31" s="6" t="str">
        <f t="shared" si="0"/>
        <v>愛知県 春日井市 上条町3-24-2-9C</v>
      </c>
      <c r="H31" s="6" t="s">
        <v>277</v>
      </c>
      <c r="I31" s="6" t="s">
        <v>278</v>
      </c>
      <c r="J31" s="6"/>
      <c r="K31" s="6" t="str">
        <f t="shared" si="1"/>
        <v> </v>
      </c>
      <c r="L31" s="6"/>
      <c r="M31" s="6" t="s">
        <v>54</v>
      </c>
      <c r="N31" s="12" t="s">
        <v>31</v>
      </c>
      <c r="O31" s="6" t="s">
        <v>279</v>
      </c>
      <c r="P31" s="6"/>
      <c r="Q31" s="6" t="s">
        <v>275</v>
      </c>
      <c r="R31" s="6"/>
      <c r="S31" s="6"/>
      <c r="T31" s="6" t="s">
        <v>280</v>
      </c>
      <c r="U31" s="6"/>
      <c r="V31" s="6"/>
      <c r="W31" s="6"/>
      <c r="X31" s="6"/>
      <c r="Y31" s="6" t="s">
        <v>54</v>
      </c>
    </row>
    <row r="32" ht="33.05" customHeight="1" spans="1:25">
      <c r="A32" s="6" t="s">
        <v>281</v>
      </c>
      <c r="B32" s="7" t="s">
        <v>281</v>
      </c>
      <c r="C32" s="8"/>
      <c r="D32" s="6">
        <v>0</v>
      </c>
      <c r="E32" s="6">
        <v>1</v>
      </c>
      <c r="F32" s="9" t="s">
        <v>282</v>
      </c>
      <c r="G32" s="6" t="str">
        <f t="shared" si="0"/>
        <v>青森県青森市 茶屋町4-14</v>
      </c>
      <c r="H32" s="6" t="s">
        <v>283</v>
      </c>
      <c r="I32" s="6" t="s">
        <v>284</v>
      </c>
      <c r="J32" s="6"/>
      <c r="K32" s="6" t="str">
        <f t="shared" si="1"/>
        <v> </v>
      </c>
      <c r="L32" s="6"/>
      <c r="M32" s="6" t="s">
        <v>54</v>
      </c>
      <c r="N32" s="12" t="s">
        <v>31</v>
      </c>
      <c r="O32" s="6" t="s">
        <v>257</v>
      </c>
      <c r="P32" s="6"/>
      <c r="Q32" s="6" t="s">
        <v>281</v>
      </c>
      <c r="R32" s="6"/>
      <c r="S32" s="6"/>
      <c r="T32" s="6" t="s">
        <v>285</v>
      </c>
      <c r="U32" s="6"/>
      <c r="V32" s="6"/>
      <c r="W32" s="6"/>
      <c r="X32" s="6"/>
      <c r="Y32" s="6" t="s">
        <v>54</v>
      </c>
    </row>
    <row r="33" ht="33.05" customHeight="1" spans="1:25">
      <c r="A33" s="6" t="s">
        <v>286</v>
      </c>
      <c r="B33" s="7" t="s">
        <v>286</v>
      </c>
      <c r="C33" s="8"/>
      <c r="D33" s="6">
        <v>0</v>
      </c>
      <c r="E33" s="6">
        <v>1</v>
      </c>
      <c r="F33" s="9" t="s">
        <v>287</v>
      </c>
      <c r="G33" s="6" t="str">
        <f t="shared" si="0"/>
        <v>北海道札幌市豊平区中の島一条4丁目2-16 Tiberina中の島401</v>
      </c>
      <c r="H33" s="6" t="s">
        <v>288</v>
      </c>
      <c r="I33" s="6" t="s">
        <v>289</v>
      </c>
      <c r="J33" s="6" t="s">
        <v>290</v>
      </c>
      <c r="K33" s="6" t="str">
        <f t="shared" si="1"/>
        <v> 中央区内本町2‐3‐8　ダイアパレスビル本町 1006ミズイシテクノロジー</v>
      </c>
      <c r="L33" s="6"/>
      <c r="M33" s="6" t="s">
        <v>291</v>
      </c>
      <c r="N33" s="12" t="s">
        <v>31</v>
      </c>
      <c r="O33" s="6" t="s">
        <v>292</v>
      </c>
      <c r="P33" s="6"/>
      <c r="Q33" s="6" t="s">
        <v>286</v>
      </c>
      <c r="R33" s="6" t="s">
        <v>77</v>
      </c>
      <c r="S33" s="6" t="s">
        <v>293</v>
      </c>
      <c r="T33" s="6" t="s">
        <v>294</v>
      </c>
      <c r="U33" s="6"/>
      <c r="V33" s="6"/>
      <c r="W33" s="6"/>
      <c r="X33" s="6"/>
      <c r="Y33" s="6" t="s">
        <v>295</v>
      </c>
    </row>
    <row r="34" ht="33.05" customHeight="1" spans="1:25">
      <c r="A34" s="6" t="s">
        <v>296</v>
      </c>
      <c r="B34" s="7" t="s">
        <v>296</v>
      </c>
      <c r="C34" s="8"/>
      <c r="D34" s="6">
        <v>0</v>
      </c>
      <c r="E34" s="6">
        <v>1</v>
      </c>
      <c r="F34" s="9" t="s">
        <v>297</v>
      </c>
      <c r="G34" s="6" t="str">
        <f t="shared" si="0"/>
        <v>北海道恵庭市恵み野南5-6-11</v>
      </c>
      <c r="H34" s="6" t="s">
        <v>298</v>
      </c>
      <c r="I34" s="6" t="s">
        <v>299</v>
      </c>
      <c r="J34" s="6" t="s">
        <v>132</v>
      </c>
      <c r="K34" s="6" t="str">
        <f t="shared" si="1"/>
        <v> 東京都品川区平塚1-13-1</v>
      </c>
      <c r="L34" s="6"/>
      <c r="M34" s="6" t="s">
        <v>133</v>
      </c>
      <c r="N34" s="12" t="s">
        <v>31</v>
      </c>
      <c r="O34" s="6" t="s">
        <v>300</v>
      </c>
      <c r="P34" s="6"/>
      <c r="Q34" s="6" t="s">
        <v>296</v>
      </c>
      <c r="R34" s="6" t="s">
        <v>77</v>
      </c>
      <c r="S34" s="6" t="s">
        <v>301</v>
      </c>
      <c r="T34" s="6" t="s">
        <v>302</v>
      </c>
      <c r="U34" s="6"/>
      <c r="V34" s="6"/>
      <c r="W34" s="6"/>
      <c r="X34" s="6"/>
      <c r="Y34" s="6" t="s">
        <v>136</v>
      </c>
    </row>
    <row r="35" ht="33.05" customHeight="1" spans="1:25">
      <c r="A35" s="6" t="s">
        <v>303</v>
      </c>
      <c r="B35" s="7" t="s">
        <v>303</v>
      </c>
      <c r="C35" s="8">
        <v>46008</v>
      </c>
      <c r="D35" s="6">
        <v>0</v>
      </c>
      <c r="E35" s="6">
        <v>1</v>
      </c>
      <c r="F35" s="9" t="s">
        <v>304</v>
      </c>
      <c r="G35" s="6" t="str">
        <f t="shared" si="0"/>
        <v>岡山県倉敷市玉島阿賀崎2-1-1玉島中央病院</v>
      </c>
      <c r="H35" s="6" t="s">
        <v>305</v>
      </c>
      <c r="I35" s="6" t="s">
        <v>306</v>
      </c>
      <c r="J35" s="6" t="s">
        <v>307</v>
      </c>
      <c r="K35" s="6" t="str">
        <f t="shared" si="1"/>
        <v> 大阪府大阪市浪速区日本橋５－１３－９－２０２</v>
      </c>
      <c r="L35" s="6"/>
      <c r="M35" s="6" t="s">
        <v>308</v>
      </c>
      <c r="N35" s="12" t="s">
        <v>31</v>
      </c>
      <c r="O35" s="6" t="s">
        <v>309</v>
      </c>
      <c r="P35" s="6"/>
      <c r="Q35" s="6" t="s">
        <v>303</v>
      </c>
      <c r="R35" s="6" t="s">
        <v>310</v>
      </c>
      <c r="S35" s="6" t="s">
        <v>311</v>
      </c>
      <c r="T35" s="6" t="s">
        <v>312</v>
      </c>
      <c r="U35" s="6"/>
      <c r="V35" s="6"/>
      <c r="W35" s="6"/>
      <c r="X35" s="6"/>
      <c r="Y35" s="6" t="s">
        <v>313</v>
      </c>
    </row>
    <row r="36" ht="33.05" customHeight="1" spans="1:25">
      <c r="A36" s="6" t="s">
        <v>314</v>
      </c>
      <c r="B36" s="7" t="s">
        <v>314</v>
      </c>
      <c r="C36" s="8"/>
      <c r="D36" s="6">
        <v>0</v>
      </c>
      <c r="E36" s="6">
        <v>1</v>
      </c>
      <c r="F36" s="9" t="s">
        <v>315</v>
      </c>
      <c r="G36" s="6" t="str">
        <f t="shared" si="0"/>
        <v>北海道札幌市東区北6条東6丁目1-2-312</v>
      </c>
      <c r="H36" s="6" t="s">
        <v>316</v>
      </c>
      <c r="I36" s="6" t="s">
        <v>317</v>
      </c>
      <c r="J36" s="6"/>
      <c r="K36" s="6" t="str">
        <f t="shared" si="1"/>
        <v> </v>
      </c>
      <c r="L36" s="6"/>
      <c r="M36" s="6" t="s">
        <v>54</v>
      </c>
      <c r="N36" s="12" t="s">
        <v>31</v>
      </c>
      <c r="O36" s="6" t="s">
        <v>257</v>
      </c>
      <c r="P36" s="6"/>
      <c r="Q36" s="6" t="s">
        <v>314</v>
      </c>
      <c r="R36" s="6"/>
      <c r="S36" s="6"/>
      <c r="T36" s="6" t="s">
        <v>318</v>
      </c>
      <c r="U36" s="6"/>
      <c r="V36" s="6"/>
      <c r="W36" s="6"/>
      <c r="X36" s="6"/>
      <c r="Y36" s="6" t="s">
        <v>54</v>
      </c>
    </row>
    <row r="37" ht="33.05" customHeight="1" spans="1:25">
      <c r="A37" s="6" t="s">
        <v>319</v>
      </c>
      <c r="B37" s="7" t="s">
        <v>319</v>
      </c>
      <c r="C37" s="8"/>
      <c r="D37" s="6">
        <v>0</v>
      </c>
      <c r="E37" s="6">
        <v>1</v>
      </c>
      <c r="F37" s="9" t="s">
        <v>320</v>
      </c>
      <c r="G37" s="6" t="str">
        <f t="shared" si="0"/>
        <v>大阪府大東市北条7-9-7</v>
      </c>
      <c r="H37" s="6" t="s">
        <v>321</v>
      </c>
      <c r="I37" s="6" t="s">
        <v>322</v>
      </c>
      <c r="J37" s="6" t="s">
        <v>184</v>
      </c>
      <c r="K37" s="6" t="str">
        <f t="shared" si="1"/>
        <v> 大阪府大阪市中央区安堂寺町2-1-3-901</v>
      </c>
      <c r="L37" s="6"/>
      <c r="M37" s="6" t="s">
        <v>185</v>
      </c>
      <c r="N37" s="12" t="s">
        <v>31</v>
      </c>
      <c r="O37" s="6" t="s">
        <v>323</v>
      </c>
      <c r="P37" s="6"/>
      <c r="Q37" s="6" t="s">
        <v>319</v>
      </c>
      <c r="R37" s="6" t="s">
        <v>161</v>
      </c>
      <c r="S37" s="6" t="s">
        <v>324</v>
      </c>
      <c r="T37" s="6" t="s">
        <v>325</v>
      </c>
      <c r="U37" s="6"/>
      <c r="V37" s="6"/>
      <c r="W37" s="6"/>
      <c r="X37" s="6"/>
      <c r="Y37" s="6" t="s">
        <v>189</v>
      </c>
    </row>
    <row r="38" ht="33.05" customHeight="1" spans="1:25">
      <c r="A38" s="6" t="s">
        <v>326</v>
      </c>
      <c r="B38" s="7" t="s">
        <v>326</v>
      </c>
      <c r="C38" s="8"/>
      <c r="D38" s="6">
        <v>0</v>
      </c>
      <c r="E38" s="6">
        <v>1</v>
      </c>
      <c r="F38" s="9" t="s">
        <v>327</v>
      </c>
      <c r="G38" s="6" t="str">
        <f t="shared" si="0"/>
        <v>埼玉県北本市本宿5-58</v>
      </c>
      <c r="H38" s="6" t="s">
        <v>328</v>
      </c>
      <c r="I38" s="6" t="s">
        <v>329</v>
      </c>
      <c r="J38" s="6" t="s">
        <v>330</v>
      </c>
      <c r="K38" s="6" t="str">
        <f t="shared" si="1"/>
        <v> 内本町2‐3‐8</v>
      </c>
      <c r="L38" s="6"/>
      <c r="M38" s="6" t="s">
        <v>331</v>
      </c>
      <c r="N38" s="12" t="s">
        <v>31</v>
      </c>
      <c r="O38" s="6" t="s">
        <v>332</v>
      </c>
      <c r="P38" s="6"/>
      <c r="Q38" s="6" t="s">
        <v>326</v>
      </c>
      <c r="R38" s="6" t="s">
        <v>219</v>
      </c>
      <c r="S38" s="6" t="s">
        <v>333</v>
      </c>
      <c r="T38" s="6" t="s">
        <v>334</v>
      </c>
      <c r="U38" s="6"/>
      <c r="V38" s="6"/>
      <c r="W38" s="6"/>
      <c r="X38" s="6"/>
      <c r="Y38" s="6" t="s">
        <v>335</v>
      </c>
    </row>
    <row r="39" ht="33.05" customHeight="1" spans="1:25">
      <c r="A39" s="6" t="s">
        <v>336</v>
      </c>
      <c r="B39" s="7" t="s">
        <v>336</v>
      </c>
      <c r="C39" s="8"/>
      <c r="D39" s="6">
        <v>0</v>
      </c>
      <c r="E39" s="6">
        <v>1</v>
      </c>
      <c r="F39" s="9" t="s">
        <v>337</v>
      </c>
      <c r="G39" s="6" t="str">
        <f t="shared" si="0"/>
        <v>鳥取県米子市旗ヶ崎2丁目11-39アビタシオンドゥ601</v>
      </c>
      <c r="H39" s="6" t="s">
        <v>338</v>
      </c>
      <c r="I39" s="6" t="s">
        <v>339</v>
      </c>
      <c r="J39" s="6"/>
      <c r="K39" s="6" t="str">
        <f t="shared" si="1"/>
        <v> </v>
      </c>
      <c r="L39" s="6"/>
      <c r="M39" s="6" t="s">
        <v>54</v>
      </c>
      <c r="N39" s="12" t="s">
        <v>31</v>
      </c>
      <c r="O39" s="6" t="s">
        <v>257</v>
      </c>
      <c r="P39" s="6"/>
      <c r="Q39" s="6" t="s">
        <v>336</v>
      </c>
      <c r="R39" s="6"/>
      <c r="S39" s="6"/>
      <c r="T39" s="6" t="s">
        <v>340</v>
      </c>
      <c r="U39" s="6"/>
      <c r="V39" s="6"/>
      <c r="W39" s="6"/>
      <c r="X39" s="6"/>
      <c r="Y39" s="6" t="s">
        <v>54</v>
      </c>
    </row>
    <row r="40" ht="33.05" customHeight="1" spans="1:25">
      <c r="A40" s="6" t="s">
        <v>341</v>
      </c>
      <c r="B40" s="7" t="s">
        <v>341</v>
      </c>
      <c r="C40" s="8"/>
      <c r="D40" s="6">
        <v>0</v>
      </c>
      <c r="E40" s="6">
        <v>1</v>
      </c>
      <c r="F40" s="9" t="s">
        <v>342</v>
      </c>
      <c r="G40" s="6" t="str">
        <f t="shared" si="0"/>
        <v>栃木県下都賀郡壬生町幸町1-5-3</v>
      </c>
      <c r="H40" s="6" t="s">
        <v>343</v>
      </c>
      <c r="I40" s="6" t="s">
        <v>344</v>
      </c>
      <c r="J40" s="6" t="s">
        <v>47</v>
      </c>
      <c r="K40" s="6" t="str">
        <f t="shared" si="1"/>
        <v>大阪府堺市 中百舌鳥町6丁目１００１-5盲亀浮木の店</v>
      </c>
      <c r="L40" s="6"/>
      <c r="M40" s="6" t="s">
        <v>156</v>
      </c>
      <c r="N40" s="12" t="s">
        <v>31</v>
      </c>
      <c r="O40" s="6" t="s">
        <v>345</v>
      </c>
      <c r="P40" s="6"/>
      <c r="Q40" s="6" t="s">
        <v>341</v>
      </c>
      <c r="R40" s="6" t="s">
        <v>346</v>
      </c>
      <c r="S40" s="6" t="s">
        <v>347</v>
      </c>
      <c r="T40" s="6" t="s">
        <v>348</v>
      </c>
      <c r="U40" s="6" t="s">
        <v>47</v>
      </c>
      <c r="V40" s="6" t="s">
        <v>47</v>
      </c>
      <c r="W40" s="6" t="s">
        <v>161</v>
      </c>
      <c r="X40" s="6" t="s">
        <v>162</v>
      </c>
      <c r="Y40" s="6" t="s">
        <v>163</v>
      </c>
    </row>
    <row r="41" ht="33.05" customHeight="1" spans="1:25">
      <c r="A41" s="6" t="s">
        <v>349</v>
      </c>
      <c r="B41" s="7" t="s">
        <v>349</v>
      </c>
      <c r="C41" s="8"/>
      <c r="D41" s="6">
        <v>0</v>
      </c>
      <c r="E41" s="6">
        <v>1</v>
      </c>
      <c r="F41" s="9" t="s">
        <v>350</v>
      </c>
      <c r="G41" s="6" t="str">
        <f t="shared" si="0"/>
        <v>大阪府大阪市中央区高津3-2-34 ホワイトハイツ601</v>
      </c>
      <c r="H41" s="6" t="s">
        <v>351</v>
      </c>
      <c r="I41" s="6" t="s">
        <v>352</v>
      </c>
      <c r="J41" s="6"/>
      <c r="K41" s="6" t="str">
        <f t="shared" si="1"/>
        <v> </v>
      </c>
      <c r="L41" s="6"/>
      <c r="M41" s="6" t="s">
        <v>54</v>
      </c>
      <c r="N41" s="12" t="s">
        <v>31</v>
      </c>
      <c r="O41" s="6" t="s">
        <v>353</v>
      </c>
      <c r="P41" s="6"/>
      <c r="Q41" s="6" t="s">
        <v>349</v>
      </c>
      <c r="R41" s="6"/>
      <c r="S41" s="6"/>
      <c r="T41" s="6" t="s">
        <v>354</v>
      </c>
      <c r="U41" s="6"/>
      <c r="V41" s="6"/>
      <c r="W41" s="6"/>
      <c r="X41" s="6"/>
      <c r="Y41" s="6" t="s">
        <v>54</v>
      </c>
    </row>
    <row r="42" ht="33.05" customHeight="1" spans="1:25">
      <c r="A42" s="6" t="s">
        <v>355</v>
      </c>
      <c r="B42" s="7" t="s">
        <v>355</v>
      </c>
      <c r="C42" s="8"/>
      <c r="D42" s="6">
        <v>0</v>
      </c>
      <c r="E42" s="6">
        <v>1</v>
      </c>
      <c r="F42" s="9" t="s">
        <v>356</v>
      </c>
      <c r="G42" s="6" t="str">
        <f t="shared" si="0"/>
        <v>三重県南牟婁郡紀宝町井田1598</v>
      </c>
      <c r="H42" s="6" t="s">
        <v>357</v>
      </c>
      <c r="I42" s="6" t="s">
        <v>358</v>
      </c>
      <c r="J42" s="6" t="s">
        <v>74</v>
      </c>
      <c r="K42" s="6" t="str">
        <f t="shared" si="1"/>
        <v> 東京都大田区上池台３－２４－１４スターハイツ洗足池２　２０２</v>
      </c>
      <c r="L42" s="6"/>
      <c r="M42" s="6" t="s">
        <v>75</v>
      </c>
      <c r="N42" s="12" t="s">
        <v>31</v>
      </c>
      <c r="O42" s="6" t="s">
        <v>359</v>
      </c>
      <c r="P42" s="6"/>
      <c r="Q42" s="6" t="s">
        <v>355</v>
      </c>
      <c r="R42" s="6" t="s">
        <v>44</v>
      </c>
      <c r="S42" s="6" t="s">
        <v>360</v>
      </c>
      <c r="T42" s="6" t="s">
        <v>361</v>
      </c>
      <c r="U42" s="6"/>
      <c r="V42" s="6"/>
      <c r="W42" s="6"/>
      <c r="X42" s="6"/>
      <c r="Y42" s="6" t="s">
        <v>80</v>
      </c>
    </row>
    <row r="43" ht="33.05" hidden="1" customHeight="1" spans="1:25">
      <c r="A43" s="6" t="s">
        <v>362</v>
      </c>
      <c r="B43" s="7" t="s">
        <v>362</v>
      </c>
      <c r="C43" s="8">
        <v>46006</v>
      </c>
      <c r="D43" s="6">
        <v>14</v>
      </c>
      <c r="E43" s="6">
        <v>1</v>
      </c>
      <c r="F43" s="9" t="s">
        <v>363</v>
      </c>
      <c r="G43" s="6" t="str">
        <f t="shared" si="0"/>
        <v>栃木県日光市高徳38番地3 サンクチュアリコート日光 購買部 フロント29</v>
      </c>
      <c r="H43" s="6" t="s">
        <v>364</v>
      </c>
      <c r="I43" s="6" t="s">
        <v>365</v>
      </c>
      <c r="J43" s="6" t="s">
        <v>85</v>
      </c>
      <c r="K43" s="6" t="str">
        <f t="shared" si="1"/>
        <v> 滋賀県甲賀市甲南町野尻558</v>
      </c>
      <c r="L43" s="6"/>
      <c r="M43" s="6" t="s">
        <v>86</v>
      </c>
      <c r="N43" s="12" t="s">
        <v>31</v>
      </c>
      <c r="O43" s="6" t="s">
        <v>366</v>
      </c>
      <c r="P43" s="6"/>
      <c r="Q43" s="6" t="s">
        <v>362</v>
      </c>
      <c r="R43" s="6" t="s">
        <v>346</v>
      </c>
      <c r="S43" s="6" t="s">
        <v>367</v>
      </c>
      <c r="T43" s="6" t="s">
        <v>368</v>
      </c>
      <c r="U43" s="6"/>
      <c r="V43" s="6"/>
      <c r="W43" s="6"/>
      <c r="X43" s="6"/>
      <c r="Y43" s="6" t="s">
        <v>91</v>
      </c>
    </row>
    <row r="44" ht="33.05" hidden="1" customHeight="1" spans="1:25">
      <c r="A44" s="6" t="s">
        <v>369</v>
      </c>
      <c r="B44" s="7" t="s">
        <v>369</v>
      </c>
      <c r="C44" s="8"/>
      <c r="D44" s="6">
        <v>18</v>
      </c>
      <c r="E44" s="6">
        <v>1</v>
      </c>
      <c r="F44" s="9" t="s">
        <v>370</v>
      </c>
      <c r="G44" s="6" t="str">
        <f t="shared" si="0"/>
        <v>愛知県豊橋市大清水町字大清水444-1</v>
      </c>
      <c r="H44" s="6" t="s">
        <v>371</v>
      </c>
      <c r="I44" s="6" t="s">
        <v>372</v>
      </c>
      <c r="J44" s="6" t="s">
        <v>184</v>
      </c>
      <c r="K44" s="6" t="str">
        <f t="shared" si="1"/>
        <v> 大阪府大阪市中央区安堂寺町2-1-3-901</v>
      </c>
      <c r="L44" s="6"/>
      <c r="M44" s="6" t="s">
        <v>185</v>
      </c>
      <c r="N44" s="12" t="s">
        <v>31</v>
      </c>
      <c r="O44" s="6" t="s">
        <v>124</v>
      </c>
      <c r="P44" s="6"/>
      <c r="Q44" s="6" t="s">
        <v>369</v>
      </c>
      <c r="R44" s="6" t="s">
        <v>97</v>
      </c>
      <c r="S44" s="6" t="s">
        <v>373</v>
      </c>
      <c r="T44" s="6" t="s">
        <v>374</v>
      </c>
      <c r="U44" s="6"/>
      <c r="V44" s="6"/>
      <c r="W44" s="6"/>
      <c r="X44" s="6"/>
      <c r="Y44" s="6" t="s">
        <v>189</v>
      </c>
    </row>
    <row r="45" ht="33.05" hidden="1" customHeight="1" spans="1:25">
      <c r="A45" s="6" t="s">
        <v>375</v>
      </c>
      <c r="B45" s="7" t="s">
        <v>375</v>
      </c>
      <c r="C45" s="8">
        <v>46004</v>
      </c>
      <c r="D45" s="6">
        <v>16</v>
      </c>
      <c r="E45" s="6">
        <v>1</v>
      </c>
      <c r="F45" s="9" t="s">
        <v>376</v>
      </c>
      <c r="G45" s="6" t="str">
        <f t="shared" si="0"/>
        <v>北海道札幌市厚別区厚別中央二条2-9-7 トラスコートひばりが丘302</v>
      </c>
      <c r="H45" s="6" t="s">
        <v>377</v>
      </c>
      <c r="I45" s="6" t="s">
        <v>378</v>
      </c>
      <c r="J45" s="6" t="s">
        <v>29</v>
      </c>
      <c r="K45" s="6" t="str">
        <f t="shared" si="1"/>
        <v> 東京都稲城市平尾１－１４－１７</v>
      </c>
      <c r="L45" s="6"/>
      <c r="M45" s="6" t="s">
        <v>30</v>
      </c>
      <c r="N45" s="12" t="s">
        <v>31</v>
      </c>
      <c r="O45" s="6" t="s">
        <v>265</v>
      </c>
      <c r="P45" s="6"/>
      <c r="Q45" s="6" t="s">
        <v>375</v>
      </c>
      <c r="R45" s="6" t="s">
        <v>77</v>
      </c>
      <c r="S45" s="6" t="s">
        <v>379</v>
      </c>
      <c r="T45" s="6" t="s">
        <v>380</v>
      </c>
      <c r="U45" s="6"/>
      <c r="V45" s="6"/>
      <c r="W45" s="6"/>
      <c r="X45" s="6"/>
      <c r="Y45" s="6" t="s">
        <v>36</v>
      </c>
    </row>
    <row r="46" ht="33.05" hidden="1" customHeight="1" spans="1:25">
      <c r="A46" s="6" t="s">
        <v>381</v>
      </c>
      <c r="B46" s="7" t="s">
        <v>381</v>
      </c>
      <c r="C46" s="8"/>
      <c r="D46" s="6">
        <v>1</v>
      </c>
      <c r="E46" s="6">
        <v>1</v>
      </c>
      <c r="F46" s="9" t="s">
        <v>382</v>
      </c>
      <c r="G46" s="6" t="str">
        <f t="shared" si="0"/>
        <v>大阪府大阪市西区新町2-16-17アーデンタワー新町1101号</v>
      </c>
      <c r="H46" s="6" t="s">
        <v>383</v>
      </c>
      <c r="I46" s="6" t="s">
        <v>384</v>
      </c>
      <c r="J46" s="6" t="s">
        <v>74</v>
      </c>
      <c r="K46" s="6" t="str">
        <f t="shared" si="1"/>
        <v> 東京都大田区上池台３－２４－１４スターハイツ洗足池２　２０２</v>
      </c>
      <c r="L46" s="6"/>
      <c r="M46" s="6" t="s">
        <v>75</v>
      </c>
      <c r="N46" s="12" t="s">
        <v>31</v>
      </c>
      <c r="O46" s="6" t="s">
        <v>385</v>
      </c>
      <c r="P46" s="6"/>
      <c r="Q46" s="6" t="s">
        <v>381</v>
      </c>
      <c r="R46" s="6" t="s">
        <v>161</v>
      </c>
      <c r="S46" s="6" t="s">
        <v>386</v>
      </c>
      <c r="T46" s="6" t="s">
        <v>387</v>
      </c>
      <c r="U46" s="6"/>
      <c r="V46" s="6"/>
      <c r="W46" s="6"/>
      <c r="X46" s="6"/>
      <c r="Y46" s="6" t="s">
        <v>80</v>
      </c>
    </row>
    <row r="47" ht="33.05" hidden="1" customHeight="1" spans="1:25">
      <c r="A47" s="6" t="s">
        <v>388</v>
      </c>
      <c r="B47" s="7" t="s">
        <v>388</v>
      </c>
      <c r="C47" s="8"/>
      <c r="D47" s="6">
        <v>19</v>
      </c>
      <c r="E47" s="6">
        <v>1</v>
      </c>
      <c r="F47" s="9" t="s">
        <v>389</v>
      </c>
      <c r="G47" s="6" t="str">
        <f t="shared" si="0"/>
        <v>埼玉県所沢市下安松286-227</v>
      </c>
      <c r="H47" s="6" t="s">
        <v>390</v>
      </c>
      <c r="I47" s="6" t="s">
        <v>391</v>
      </c>
      <c r="J47" s="6" t="s">
        <v>226</v>
      </c>
      <c r="K47" s="6" t="str">
        <f t="shared" si="1"/>
        <v> 東京都西多摩郡奥多摩町留浦１０１８</v>
      </c>
      <c r="L47" s="6"/>
      <c r="M47" s="6" t="s">
        <v>227</v>
      </c>
      <c r="N47" s="12" t="s">
        <v>31</v>
      </c>
      <c r="O47" s="6" t="s">
        <v>186</v>
      </c>
      <c r="P47" s="6"/>
      <c r="Q47" s="6" t="s">
        <v>388</v>
      </c>
      <c r="R47" s="6" t="s">
        <v>219</v>
      </c>
      <c r="S47" s="6" t="s">
        <v>392</v>
      </c>
      <c r="T47" s="6" t="s">
        <v>393</v>
      </c>
      <c r="U47" s="6"/>
      <c r="V47" s="6"/>
      <c r="W47" s="6"/>
      <c r="X47" s="6"/>
      <c r="Y47" s="6" t="s">
        <v>231</v>
      </c>
    </row>
    <row r="48" ht="33.05" hidden="1" customHeight="1" spans="1:25">
      <c r="A48" s="6" t="s">
        <v>394</v>
      </c>
      <c r="B48" s="7" t="s">
        <v>394</v>
      </c>
      <c r="C48" s="8"/>
      <c r="D48" s="6">
        <v>19</v>
      </c>
      <c r="E48" s="6">
        <v>1</v>
      </c>
      <c r="F48" s="9" t="s">
        <v>395</v>
      </c>
      <c r="G48" s="6" t="str">
        <f t="shared" si="0"/>
        <v>神奈川県茅ヶ崎市東海岸北5丁目1ー12ー2</v>
      </c>
      <c r="H48" s="6" t="s">
        <v>396</v>
      </c>
      <c r="I48" s="6" t="s">
        <v>397</v>
      </c>
      <c r="J48" s="6" t="s">
        <v>194</v>
      </c>
      <c r="K48" s="6" t="str">
        <f t="shared" si="1"/>
        <v> 山形県山形市上町２－９－５</v>
      </c>
      <c r="L48" s="6"/>
      <c r="M48" s="6" t="s">
        <v>86</v>
      </c>
      <c r="N48" s="12" t="s">
        <v>31</v>
      </c>
      <c r="O48" s="6" t="s">
        <v>398</v>
      </c>
      <c r="P48" s="6"/>
      <c r="Q48" s="6" t="s">
        <v>394</v>
      </c>
      <c r="R48" s="6" t="s">
        <v>64</v>
      </c>
      <c r="S48" s="6" t="s">
        <v>399</v>
      </c>
      <c r="T48" s="6" t="s">
        <v>400</v>
      </c>
      <c r="U48" s="6"/>
      <c r="V48" s="6"/>
      <c r="W48" s="6"/>
      <c r="X48" s="6"/>
      <c r="Y48" s="6" t="s">
        <v>199</v>
      </c>
    </row>
    <row r="49" ht="33.05" hidden="1" customHeight="1" spans="1:25">
      <c r="A49" s="6" t="s">
        <v>401</v>
      </c>
      <c r="B49" s="7" t="s">
        <v>401</v>
      </c>
      <c r="C49" s="8">
        <v>46005</v>
      </c>
      <c r="D49" s="6">
        <v>16</v>
      </c>
      <c r="E49" s="6">
        <v>1</v>
      </c>
      <c r="F49" s="9" t="s">
        <v>402</v>
      </c>
      <c r="G49" s="6" t="str">
        <f t="shared" si="0"/>
        <v>北海道札幌市南区常盤二条1丁目12-6-1032025-12-14(日)16:00-18:00</v>
      </c>
      <c r="H49" s="6" t="s">
        <v>403</v>
      </c>
      <c r="I49" s="6" t="s">
        <v>404</v>
      </c>
      <c r="J49" s="6" t="s">
        <v>405</v>
      </c>
      <c r="K49" s="6" t="str">
        <f t="shared" si="1"/>
        <v> 内本町2‐3‐8</v>
      </c>
      <c r="L49" s="6"/>
      <c r="M49" s="6" t="s">
        <v>331</v>
      </c>
      <c r="N49" s="12" t="s">
        <v>31</v>
      </c>
      <c r="O49" s="6" t="s">
        <v>406</v>
      </c>
      <c r="P49" s="6"/>
      <c r="Q49" s="6" t="s">
        <v>401</v>
      </c>
      <c r="R49" s="6" t="s">
        <v>77</v>
      </c>
      <c r="S49" s="6" t="s">
        <v>407</v>
      </c>
      <c r="T49" s="6" t="s">
        <v>408</v>
      </c>
      <c r="U49" s="6"/>
      <c r="V49" s="6"/>
      <c r="W49" s="6"/>
      <c r="X49" s="6"/>
      <c r="Y49" s="6" t="s">
        <v>335</v>
      </c>
    </row>
    <row r="50" ht="33.05" customHeight="1" spans="1:25">
      <c r="A50" s="6" t="s">
        <v>409</v>
      </c>
      <c r="B50" s="7" t="s">
        <v>409</v>
      </c>
      <c r="C50" s="8"/>
      <c r="D50" s="6">
        <v>0</v>
      </c>
      <c r="E50" s="6">
        <v>1</v>
      </c>
      <c r="F50" s="9" t="s">
        <v>410</v>
      </c>
      <c r="G50" s="6" t="str">
        <f t="shared" si="0"/>
        <v>熊本県天草郡苓北町上津深江278-10</v>
      </c>
      <c r="H50" s="6" t="s">
        <v>411</v>
      </c>
      <c r="I50" s="6" t="s">
        <v>412</v>
      </c>
      <c r="J50" s="6" t="s">
        <v>74</v>
      </c>
      <c r="K50" s="6" t="str">
        <f t="shared" si="1"/>
        <v> 東京都大田区上池台３－２４－１４スターハイツ洗足池２　２０２</v>
      </c>
      <c r="L50" s="6"/>
      <c r="M50" s="6" t="s">
        <v>75</v>
      </c>
      <c r="N50" s="12" t="s">
        <v>31</v>
      </c>
      <c r="O50" s="6" t="s">
        <v>413</v>
      </c>
      <c r="P50" s="6"/>
      <c r="Q50" s="6" t="s">
        <v>409</v>
      </c>
      <c r="R50" s="6" t="s">
        <v>414</v>
      </c>
      <c r="S50" s="6" t="s">
        <v>415</v>
      </c>
      <c r="T50" s="6" t="s">
        <v>416</v>
      </c>
      <c r="U50" s="6"/>
      <c r="V50" s="6"/>
      <c r="W50" s="6"/>
      <c r="X50" s="6"/>
      <c r="Y50" s="6" t="s">
        <v>80</v>
      </c>
    </row>
    <row r="51" ht="33.05" customHeight="1" spans="1:25">
      <c r="A51" s="6" t="s">
        <v>417</v>
      </c>
      <c r="B51" s="7" t="s">
        <v>417</v>
      </c>
      <c r="C51" s="8"/>
      <c r="D51" s="6">
        <v>0</v>
      </c>
      <c r="E51" s="6">
        <v>1</v>
      </c>
      <c r="F51" s="9" t="s">
        <v>418</v>
      </c>
      <c r="G51" s="6" t="str">
        <f t="shared" si="0"/>
        <v>東京都目黒区大橋2-2-3-504（午前中配達希望）</v>
      </c>
      <c r="H51" s="6" t="s">
        <v>419</v>
      </c>
      <c r="I51" s="6" t="s">
        <v>420</v>
      </c>
      <c r="J51" s="6" t="s">
        <v>29</v>
      </c>
      <c r="K51" s="6" t="str">
        <f t="shared" si="1"/>
        <v> 東京都稲城市平尾１－１４－１７</v>
      </c>
      <c r="L51" s="6"/>
      <c r="M51" s="6" t="s">
        <v>30</v>
      </c>
      <c r="N51" s="12" t="s">
        <v>31</v>
      </c>
      <c r="O51" s="6" t="s">
        <v>421</v>
      </c>
      <c r="P51" s="6"/>
      <c r="Q51" s="6" t="s">
        <v>417</v>
      </c>
      <c r="R51" s="6" t="s">
        <v>33</v>
      </c>
      <c r="S51" s="6" t="s">
        <v>422</v>
      </c>
      <c r="T51" s="6" t="s">
        <v>423</v>
      </c>
      <c r="U51" s="6"/>
      <c r="V51" s="6"/>
      <c r="W51" s="6"/>
      <c r="X51" s="6"/>
      <c r="Y51" s="6" t="s">
        <v>36</v>
      </c>
    </row>
    <row r="52" ht="33.05" customHeight="1" spans="1:25">
      <c r="A52" s="6" t="s">
        <v>424</v>
      </c>
      <c r="B52" s="7" t="s">
        <v>424</v>
      </c>
      <c r="C52" s="8"/>
      <c r="D52" s="6">
        <v>0</v>
      </c>
      <c r="E52" s="6">
        <v>1</v>
      </c>
      <c r="F52" s="9" t="s">
        <v>425</v>
      </c>
      <c r="G52" s="6" t="str">
        <f t="shared" si="0"/>
        <v>東京都新宿区歌舞伎町1-28-3 TOMOビル3F</v>
      </c>
      <c r="H52" s="6" t="s">
        <v>426</v>
      </c>
      <c r="I52" s="6" t="s">
        <v>427</v>
      </c>
      <c r="J52" s="6" t="s">
        <v>226</v>
      </c>
      <c r="K52" s="6" t="str">
        <f t="shared" si="1"/>
        <v> 東京都西多摩郡奥多摩町留浦１０１８</v>
      </c>
      <c r="L52" s="6"/>
      <c r="M52" s="6" t="s">
        <v>227</v>
      </c>
      <c r="N52" s="12" t="s">
        <v>31</v>
      </c>
      <c r="O52" s="6" t="s">
        <v>385</v>
      </c>
      <c r="P52" s="6"/>
      <c r="Q52" s="6" t="s">
        <v>424</v>
      </c>
      <c r="R52" s="6" t="s">
        <v>33</v>
      </c>
      <c r="S52" s="6" t="s">
        <v>48</v>
      </c>
      <c r="T52" s="6" t="s">
        <v>428</v>
      </c>
      <c r="U52" s="6"/>
      <c r="V52" s="6"/>
      <c r="W52" s="6"/>
      <c r="X52" s="6"/>
      <c r="Y52" s="6" t="s">
        <v>231</v>
      </c>
    </row>
    <row r="53" ht="33.05" customHeight="1" spans="1:25">
      <c r="A53" s="6" t="s">
        <v>429</v>
      </c>
      <c r="B53" s="7" t="s">
        <v>429</v>
      </c>
      <c r="C53" s="8"/>
      <c r="D53" s="6">
        <v>0</v>
      </c>
      <c r="E53" s="6">
        <v>1</v>
      </c>
      <c r="F53" s="9" t="s">
        <v>430</v>
      </c>
      <c r="G53" s="6" t="str">
        <f t="shared" si="0"/>
        <v>北海道札幌市中央区北三条東11丁目338 プレミストタワーズ札幌苗穂AQUAGATE 2403（12:00-14:00配達希望）</v>
      </c>
      <c r="H53" s="6" t="s">
        <v>431</v>
      </c>
      <c r="I53" s="6" t="s">
        <v>432</v>
      </c>
      <c r="J53" s="6" t="s">
        <v>132</v>
      </c>
      <c r="K53" s="6" t="str">
        <f t="shared" si="1"/>
        <v> 東京都品川区平塚1-13-1</v>
      </c>
      <c r="L53" s="6"/>
      <c r="M53" s="6" t="s">
        <v>133</v>
      </c>
      <c r="N53" s="12" t="s">
        <v>31</v>
      </c>
      <c r="O53" s="6" t="s">
        <v>433</v>
      </c>
      <c r="P53" s="6"/>
      <c r="Q53" s="6" t="s">
        <v>429</v>
      </c>
      <c r="R53" s="6" t="s">
        <v>77</v>
      </c>
      <c r="S53" s="6" t="s">
        <v>187</v>
      </c>
      <c r="T53" s="6" t="s">
        <v>434</v>
      </c>
      <c r="U53" s="6"/>
      <c r="V53" s="6"/>
      <c r="W53" s="6"/>
      <c r="X53" s="6"/>
      <c r="Y53" s="6" t="s">
        <v>136</v>
      </c>
    </row>
    <row r="54" ht="33.05" customHeight="1" spans="1:25">
      <c r="A54" s="6" t="s">
        <v>435</v>
      </c>
      <c r="B54" s="7" t="s">
        <v>435</v>
      </c>
      <c r="C54" s="8">
        <v>46008</v>
      </c>
      <c r="D54" s="6">
        <v>0</v>
      </c>
      <c r="E54" s="6">
        <v>1</v>
      </c>
      <c r="F54" s="9" t="s">
        <v>436</v>
      </c>
      <c r="G54" s="6" t="str">
        <f t="shared" si="0"/>
        <v>東京都目黒区南2-8-17-156</v>
      </c>
      <c r="H54" s="6" t="s">
        <v>437</v>
      </c>
      <c r="I54" s="6" t="s">
        <v>438</v>
      </c>
      <c r="J54" s="6" t="s">
        <v>226</v>
      </c>
      <c r="K54" s="6" t="str">
        <f t="shared" si="1"/>
        <v> 東京都西多摩郡奥多摩町留浦１０１８</v>
      </c>
      <c r="L54" s="6"/>
      <c r="M54" s="6" t="s">
        <v>227</v>
      </c>
      <c r="N54" s="12" t="s">
        <v>31</v>
      </c>
      <c r="O54" s="6" t="s">
        <v>439</v>
      </c>
      <c r="P54" s="6"/>
      <c r="Q54" s="6" t="s">
        <v>435</v>
      </c>
      <c r="R54" s="6" t="s">
        <v>33</v>
      </c>
      <c r="S54" s="6" t="s">
        <v>422</v>
      </c>
      <c r="T54" s="6" t="s">
        <v>440</v>
      </c>
      <c r="U54" s="6"/>
      <c r="V54" s="6"/>
      <c r="W54" s="6"/>
      <c r="X54" s="6"/>
      <c r="Y54" s="6" t="s">
        <v>231</v>
      </c>
    </row>
    <row r="55" ht="33.05" customHeight="1" spans="1:25">
      <c r="A55" s="6" t="s">
        <v>441</v>
      </c>
      <c r="B55" s="7" t="s">
        <v>441</v>
      </c>
      <c r="C55" s="8"/>
      <c r="D55" s="6">
        <v>0</v>
      </c>
      <c r="E55" s="6">
        <v>1</v>
      </c>
      <c r="F55" s="9" t="s">
        <v>442</v>
      </c>
      <c r="G55" s="6" t="str">
        <f t="shared" si="0"/>
        <v>埼玉県所沢市若狭4-867-6</v>
      </c>
      <c r="H55" s="6" t="s">
        <v>443</v>
      </c>
      <c r="I55" s="6" t="s">
        <v>444</v>
      </c>
      <c r="J55" s="6"/>
      <c r="K55" s="6" t="str">
        <f t="shared" si="1"/>
        <v> </v>
      </c>
      <c r="L55" s="6"/>
      <c r="M55" s="6" t="s">
        <v>54</v>
      </c>
      <c r="N55" s="12" t="s">
        <v>31</v>
      </c>
      <c r="O55" s="6" t="s">
        <v>257</v>
      </c>
      <c r="P55" s="6"/>
      <c r="Q55" s="6" t="s">
        <v>441</v>
      </c>
      <c r="R55" s="6"/>
      <c r="S55" s="6"/>
      <c r="T55" s="6" t="s">
        <v>445</v>
      </c>
      <c r="U55" s="6"/>
      <c r="V55" s="6"/>
      <c r="W55" s="6"/>
      <c r="X55" s="6"/>
      <c r="Y55" s="6" t="s">
        <v>54</v>
      </c>
    </row>
    <row r="56" ht="33.05" customHeight="1" spans="1:25">
      <c r="A56" s="6" t="s">
        <v>446</v>
      </c>
      <c r="B56" s="7" t="s">
        <v>446</v>
      </c>
      <c r="C56" s="8"/>
      <c r="D56" s="6">
        <v>0</v>
      </c>
      <c r="E56" s="6">
        <v>1</v>
      </c>
      <c r="F56" s="9" t="s">
        <v>447</v>
      </c>
      <c r="G56" s="6" t="str">
        <f t="shared" si="0"/>
        <v>東京都千代田区神田佐久間町1-17 4F</v>
      </c>
      <c r="H56" s="6" t="s">
        <v>448</v>
      </c>
      <c r="I56" s="6" t="s">
        <v>449</v>
      </c>
      <c r="J56" s="6"/>
      <c r="K56" s="6" t="str">
        <f t="shared" si="1"/>
        <v> </v>
      </c>
      <c r="L56" s="6"/>
      <c r="M56" s="6" t="s">
        <v>54</v>
      </c>
      <c r="N56" s="12" t="s">
        <v>31</v>
      </c>
      <c r="O56" s="6" t="s">
        <v>257</v>
      </c>
      <c r="P56" s="6"/>
      <c r="Q56" s="6" t="s">
        <v>446</v>
      </c>
      <c r="R56" s="6"/>
      <c r="S56" s="6"/>
      <c r="T56" s="6" t="s">
        <v>450</v>
      </c>
      <c r="U56" s="6"/>
      <c r="V56" s="6"/>
      <c r="W56" s="6"/>
      <c r="X56" s="6"/>
      <c r="Y56" s="6" t="s">
        <v>54</v>
      </c>
    </row>
    <row r="57" ht="33.05" hidden="1" customHeight="1" spans="1:25">
      <c r="A57" s="6" t="s">
        <v>451</v>
      </c>
      <c r="B57" s="7" t="s">
        <v>451</v>
      </c>
      <c r="C57" s="8"/>
      <c r="D57" s="6">
        <v>14</v>
      </c>
      <c r="E57" s="6">
        <v>1</v>
      </c>
      <c r="F57" s="9" t="s">
        <v>452</v>
      </c>
      <c r="G57" s="6" t="str">
        <f t="shared" si="0"/>
        <v>神奈川県川崎市中原区下小田中1-8-2 KFAビル1階（パスタ屋 とらうさぎ3番店）</v>
      </c>
      <c r="H57" s="6" t="s">
        <v>453</v>
      </c>
      <c r="I57" s="6" t="s">
        <v>454</v>
      </c>
      <c r="J57" s="6" t="s">
        <v>290</v>
      </c>
      <c r="K57" s="6" t="str">
        <f t="shared" si="1"/>
        <v> 中央区内本町2‐3‐8　ダイアパレスビル本町 1006ミズイシテクノロジー</v>
      </c>
      <c r="L57" s="6"/>
      <c r="M57" s="6" t="s">
        <v>291</v>
      </c>
      <c r="N57" s="12" t="s">
        <v>31</v>
      </c>
      <c r="O57" s="6" t="s">
        <v>455</v>
      </c>
      <c r="P57" s="6"/>
      <c r="Q57" s="6" t="s">
        <v>451</v>
      </c>
      <c r="R57" s="6" t="s">
        <v>64</v>
      </c>
      <c r="S57" s="6" t="s">
        <v>456</v>
      </c>
      <c r="T57" s="6" t="s">
        <v>457</v>
      </c>
      <c r="U57" s="6"/>
      <c r="V57" s="6"/>
      <c r="W57" s="6"/>
      <c r="X57" s="6"/>
      <c r="Y57" s="6" t="s">
        <v>295</v>
      </c>
    </row>
    <row r="58" ht="33.05" customHeight="1" spans="1:25">
      <c r="A58" s="6" t="s">
        <v>458</v>
      </c>
      <c r="B58" s="7" t="s">
        <v>458</v>
      </c>
      <c r="C58" s="8"/>
      <c r="D58" s="6">
        <v>0</v>
      </c>
      <c r="E58" s="6">
        <v>1</v>
      </c>
      <c r="F58" s="9" t="s">
        <v>459</v>
      </c>
      <c r="G58" s="6" t="str">
        <f t="shared" si="0"/>
        <v>香川県三豊市仁尾町仁尾丁1452-30</v>
      </c>
      <c r="H58" s="6" t="s">
        <v>460</v>
      </c>
      <c r="I58" s="6" t="s">
        <v>461</v>
      </c>
      <c r="J58" s="6" t="s">
        <v>330</v>
      </c>
      <c r="K58" s="6" t="str">
        <f t="shared" si="1"/>
        <v> 内本町2‐3‐8</v>
      </c>
      <c r="L58" s="6"/>
      <c r="M58" s="6" t="s">
        <v>331</v>
      </c>
      <c r="N58" s="12" t="s">
        <v>31</v>
      </c>
      <c r="O58" s="6" t="s">
        <v>462</v>
      </c>
      <c r="P58" s="6"/>
      <c r="Q58" s="6" t="s">
        <v>458</v>
      </c>
      <c r="R58" s="6" t="s">
        <v>463</v>
      </c>
      <c r="S58" s="6" t="s">
        <v>464</v>
      </c>
      <c r="T58" s="6" t="s">
        <v>465</v>
      </c>
      <c r="U58" s="6"/>
      <c r="V58" s="6"/>
      <c r="W58" s="6"/>
      <c r="X58" s="6"/>
      <c r="Y58" s="6" t="s">
        <v>335</v>
      </c>
    </row>
    <row r="59" ht="33.05" customHeight="1" spans="1:25">
      <c r="A59" s="6" t="s">
        <v>466</v>
      </c>
      <c r="B59" s="7" t="s">
        <v>466</v>
      </c>
      <c r="C59" s="8"/>
      <c r="D59" s="6">
        <v>0</v>
      </c>
      <c r="E59" s="6">
        <v>1</v>
      </c>
      <c r="F59" s="9" t="s">
        <v>467</v>
      </c>
      <c r="G59" s="6" t="str">
        <f t="shared" si="0"/>
        <v>岐阜県岐阜市粟野東3丁目210番地</v>
      </c>
      <c r="H59" s="6" t="s">
        <v>468</v>
      </c>
      <c r="I59" s="6" t="s">
        <v>469</v>
      </c>
      <c r="J59" s="6" t="s">
        <v>85</v>
      </c>
      <c r="K59" s="6" t="str">
        <f t="shared" si="1"/>
        <v> 滋賀県甲賀市甲南町野尻558</v>
      </c>
      <c r="L59" s="6"/>
      <c r="M59" s="6" t="s">
        <v>86</v>
      </c>
      <c r="N59" s="12" t="s">
        <v>31</v>
      </c>
      <c r="O59" s="6" t="s">
        <v>413</v>
      </c>
      <c r="P59" s="6"/>
      <c r="Q59" s="6" t="s">
        <v>466</v>
      </c>
      <c r="R59" s="6" t="s">
        <v>470</v>
      </c>
      <c r="S59" s="6" t="s">
        <v>471</v>
      </c>
      <c r="T59" s="6" t="s">
        <v>472</v>
      </c>
      <c r="U59" s="6"/>
      <c r="V59" s="6"/>
      <c r="W59" s="6"/>
      <c r="X59" s="6"/>
      <c r="Y59" s="6" t="s">
        <v>91</v>
      </c>
    </row>
    <row r="60" ht="33.05" customHeight="1" spans="1:25">
      <c r="A60" s="6" t="s">
        <v>473</v>
      </c>
      <c r="B60" s="7" t="s">
        <v>473</v>
      </c>
      <c r="C60" s="8"/>
      <c r="D60" s="6">
        <v>0</v>
      </c>
      <c r="E60" s="6">
        <v>1</v>
      </c>
      <c r="F60" s="9" t="s">
        <v>474</v>
      </c>
      <c r="G60" s="6" t="str">
        <f t="shared" si="0"/>
        <v>東京都練馬区春日町4-19-22</v>
      </c>
      <c r="H60" s="6" t="s">
        <v>475</v>
      </c>
      <c r="I60" s="6" t="s">
        <v>476</v>
      </c>
      <c r="J60" s="6" t="s">
        <v>477</v>
      </c>
      <c r="K60" s="6" t="str">
        <f t="shared" si="1"/>
        <v> 神奈川県秦野市戸川４７０－７</v>
      </c>
      <c r="L60" s="6"/>
      <c r="M60" s="6" t="s">
        <v>478</v>
      </c>
      <c r="N60" s="12" t="s">
        <v>31</v>
      </c>
      <c r="O60" s="6" t="s">
        <v>479</v>
      </c>
      <c r="P60" s="6"/>
      <c r="Q60" s="6" t="s">
        <v>473</v>
      </c>
      <c r="R60" s="6" t="s">
        <v>33</v>
      </c>
      <c r="S60" s="6" t="s">
        <v>480</v>
      </c>
      <c r="T60" s="6" t="s">
        <v>481</v>
      </c>
      <c r="U60" s="6"/>
      <c r="V60" s="6"/>
      <c r="W60" s="6"/>
      <c r="X60" s="6"/>
      <c r="Y60" s="6" t="s">
        <v>482</v>
      </c>
    </row>
    <row r="61" ht="33.05" hidden="1" customHeight="1" spans="1:25">
      <c r="A61" s="6" t="s">
        <v>483</v>
      </c>
      <c r="B61" s="7" t="s">
        <v>483</v>
      </c>
      <c r="C61" s="8">
        <v>46007</v>
      </c>
      <c r="D61" s="6">
        <v>16</v>
      </c>
      <c r="E61" s="6">
        <v>1</v>
      </c>
      <c r="F61" s="9" t="s">
        <v>484</v>
      </c>
      <c r="G61" s="6" t="str">
        <f t="shared" si="0"/>
        <v>三重県鈴鹿市高塚町183-20</v>
      </c>
      <c r="H61" s="6" t="s">
        <v>485</v>
      </c>
      <c r="I61" s="6" t="s">
        <v>486</v>
      </c>
      <c r="J61" s="6" t="s">
        <v>184</v>
      </c>
      <c r="K61" s="6" t="str">
        <f t="shared" si="1"/>
        <v> 大阪府大阪市中央区安堂寺町2-1-3-901</v>
      </c>
      <c r="L61" s="6"/>
      <c r="M61" s="6" t="s">
        <v>185</v>
      </c>
      <c r="N61" s="12" t="s">
        <v>31</v>
      </c>
      <c r="O61" s="6" t="s">
        <v>487</v>
      </c>
      <c r="P61" s="6"/>
      <c r="Q61" s="6" t="s">
        <v>483</v>
      </c>
      <c r="R61" s="6" t="s">
        <v>44</v>
      </c>
      <c r="S61" s="6" t="s">
        <v>45</v>
      </c>
      <c r="T61" s="6" t="s">
        <v>488</v>
      </c>
      <c r="U61" s="6"/>
      <c r="V61" s="6"/>
      <c r="W61" s="6"/>
      <c r="X61" s="6"/>
      <c r="Y61" s="6" t="s">
        <v>189</v>
      </c>
    </row>
    <row r="62" ht="33.05" customHeight="1" spans="1:25">
      <c r="A62" s="6" t="s">
        <v>489</v>
      </c>
      <c r="B62" s="7" t="s">
        <v>489</v>
      </c>
      <c r="C62" s="8"/>
      <c r="D62" s="6">
        <v>0</v>
      </c>
      <c r="E62" s="6">
        <v>1</v>
      </c>
      <c r="F62" s="9" t="s">
        <v>490</v>
      </c>
      <c r="G62" s="6" t="str">
        <f t="shared" si="0"/>
        <v>山口県下関市川中本町1-1513</v>
      </c>
      <c r="H62" s="6" t="s">
        <v>491</v>
      </c>
      <c r="I62" s="6" t="s">
        <v>492</v>
      </c>
      <c r="J62" s="6" t="s">
        <v>226</v>
      </c>
      <c r="K62" s="6" t="str">
        <f t="shared" si="1"/>
        <v> 東京都西多摩郡奥多摩町留浦１０１８</v>
      </c>
      <c r="L62" s="6"/>
      <c r="M62" s="6" t="s">
        <v>227</v>
      </c>
      <c r="N62" s="12" t="s">
        <v>31</v>
      </c>
      <c r="O62" s="6" t="s">
        <v>493</v>
      </c>
      <c r="P62" s="6"/>
      <c r="Q62" s="6" t="s">
        <v>489</v>
      </c>
      <c r="R62" s="6" t="s">
        <v>494</v>
      </c>
      <c r="S62" s="6" t="s">
        <v>495</v>
      </c>
      <c r="T62" s="6" t="s">
        <v>496</v>
      </c>
      <c r="U62" s="6"/>
      <c r="V62" s="6"/>
      <c r="W62" s="6"/>
      <c r="X62" s="6"/>
      <c r="Y62" s="6" t="s">
        <v>231</v>
      </c>
    </row>
    <row r="63" ht="33.05" hidden="1" customHeight="1" spans="1:25">
      <c r="A63" s="6" t="s">
        <v>497</v>
      </c>
      <c r="B63" s="7" t="s">
        <v>497</v>
      </c>
      <c r="C63" s="8">
        <v>46005</v>
      </c>
      <c r="D63" s="6">
        <v>16</v>
      </c>
      <c r="E63" s="6">
        <v>1</v>
      </c>
      <c r="F63" s="9" t="s">
        <v>498</v>
      </c>
      <c r="G63" s="6" t="str">
        <f t="shared" si="0"/>
        <v>神奈川県横浜市戸塚区原宿1-47-4</v>
      </c>
      <c r="H63" s="6" t="s">
        <v>499</v>
      </c>
      <c r="I63" s="6" t="s">
        <v>500</v>
      </c>
      <c r="J63" s="6" t="s">
        <v>290</v>
      </c>
      <c r="K63" s="6" t="str">
        <f t="shared" si="1"/>
        <v> 中央区内本町2‐3‐8　ダイアパレスビル本町 1006ミズイシテクノロジー</v>
      </c>
      <c r="L63" s="6"/>
      <c r="M63" s="6" t="s">
        <v>291</v>
      </c>
      <c r="N63" s="12" t="s">
        <v>31</v>
      </c>
      <c r="O63" s="6" t="s">
        <v>501</v>
      </c>
      <c r="P63" s="6"/>
      <c r="Q63" s="6" t="s">
        <v>497</v>
      </c>
      <c r="R63" s="6" t="s">
        <v>64</v>
      </c>
      <c r="S63" s="6" t="s">
        <v>502</v>
      </c>
      <c r="T63" s="6" t="s">
        <v>503</v>
      </c>
      <c r="U63" s="6"/>
      <c r="V63" s="6"/>
      <c r="W63" s="6"/>
      <c r="X63" s="6"/>
      <c r="Y63" s="6" t="s">
        <v>295</v>
      </c>
    </row>
    <row r="64" ht="33.05" customHeight="1" spans="1:25">
      <c r="A64" s="6" t="s">
        <v>504</v>
      </c>
      <c r="B64" s="7" t="s">
        <v>504</v>
      </c>
      <c r="C64" s="8"/>
      <c r="D64" s="6">
        <v>0</v>
      </c>
      <c r="E64" s="6">
        <v>1</v>
      </c>
      <c r="F64" s="9" t="s">
        <v>505</v>
      </c>
      <c r="G64" s="6" t="str">
        <f t="shared" si="0"/>
        <v>福岡県 城市 北九州市戸畑区中原西 地址 1-11-6</v>
      </c>
      <c r="H64" s="6" t="s">
        <v>506</v>
      </c>
      <c r="I64" s="6" t="s">
        <v>507</v>
      </c>
      <c r="J64" s="6"/>
      <c r="K64" s="6" t="str">
        <f t="shared" si="1"/>
        <v> </v>
      </c>
      <c r="L64" s="6"/>
      <c r="M64" s="6" t="s">
        <v>54</v>
      </c>
      <c r="N64" s="12" t="s">
        <v>31</v>
      </c>
      <c r="O64" s="6" t="s">
        <v>257</v>
      </c>
      <c r="P64" s="6"/>
      <c r="Q64" s="6" t="s">
        <v>504</v>
      </c>
      <c r="R64" s="6"/>
      <c r="S64" s="6"/>
      <c r="T64" s="6" t="s">
        <v>508</v>
      </c>
      <c r="U64" s="6"/>
      <c r="V64" s="6"/>
      <c r="W64" s="6"/>
      <c r="X64" s="6"/>
      <c r="Y64" s="6" t="s">
        <v>54</v>
      </c>
    </row>
    <row r="65" ht="33.05" customHeight="1" spans="1:25">
      <c r="A65" s="6" t="s">
        <v>509</v>
      </c>
      <c r="B65" s="7" t="s">
        <v>509</v>
      </c>
      <c r="C65" s="8"/>
      <c r="D65" s="6">
        <v>0</v>
      </c>
      <c r="E65" s="6">
        <v>1</v>
      </c>
      <c r="F65" s="9" t="s">
        <v>510</v>
      </c>
      <c r="G65" s="6" t="str">
        <f t="shared" si="0"/>
        <v>埼玉県狭山市大字水野５０７－１</v>
      </c>
      <c r="H65" s="6" t="s">
        <v>511</v>
      </c>
      <c r="I65" s="6" t="s">
        <v>512</v>
      </c>
      <c r="J65" s="6"/>
      <c r="K65" s="6" t="str">
        <f t="shared" si="1"/>
        <v> </v>
      </c>
      <c r="L65" s="6"/>
      <c r="M65" s="6" t="s">
        <v>54</v>
      </c>
      <c r="N65" s="12" t="s">
        <v>31</v>
      </c>
      <c r="O65" s="6" t="s">
        <v>257</v>
      </c>
      <c r="P65" s="6"/>
      <c r="Q65" s="6" t="s">
        <v>509</v>
      </c>
      <c r="R65" s="6"/>
      <c r="S65" s="6"/>
      <c r="T65" s="6" t="s">
        <v>513</v>
      </c>
      <c r="U65" s="6"/>
      <c r="V65" s="6"/>
      <c r="W65" s="6"/>
      <c r="X65" s="6"/>
      <c r="Y65" s="6" t="s">
        <v>54</v>
      </c>
    </row>
    <row r="66" ht="33.05" customHeight="1" spans="1:25">
      <c r="A66" s="6" t="s">
        <v>514</v>
      </c>
      <c r="B66" s="7" t="s">
        <v>514</v>
      </c>
      <c r="C66" s="8"/>
      <c r="D66" s="6">
        <v>0</v>
      </c>
      <c r="E66" s="6">
        <v>1</v>
      </c>
      <c r="F66" s="9" t="s">
        <v>510</v>
      </c>
      <c r="G66" s="6" t="str">
        <f t="shared" ref="G66:G125" si="2">R66&amp;S66&amp;T66&amp;U66&amp;V66</f>
        <v>埼玉県狭山市大字水野５０７－１</v>
      </c>
      <c r="H66" s="6" t="s">
        <v>511</v>
      </c>
      <c r="I66" s="6" t="s">
        <v>512</v>
      </c>
      <c r="J66" s="6"/>
      <c r="K66" s="6" t="str">
        <f t="shared" ref="K66:K125" si="3">W66&amp;X66&amp;Y66</f>
        <v> </v>
      </c>
      <c r="L66" s="6"/>
      <c r="M66" s="6" t="s">
        <v>54</v>
      </c>
      <c r="N66" s="12" t="s">
        <v>31</v>
      </c>
      <c r="O66" s="6" t="s">
        <v>515</v>
      </c>
      <c r="P66" s="6"/>
      <c r="Q66" s="6" t="s">
        <v>514</v>
      </c>
      <c r="R66" s="6"/>
      <c r="S66" s="6"/>
      <c r="T66" s="6" t="s">
        <v>513</v>
      </c>
      <c r="U66" s="6"/>
      <c r="V66" s="6"/>
      <c r="W66" s="6"/>
      <c r="X66" s="6"/>
      <c r="Y66" s="6" t="s">
        <v>54</v>
      </c>
    </row>
    <row r="67" ht="33.05" customHeight="1" spans="1:25">
      <c r="A67" s="6" t="s">
        <v>516</v>
      </c>
      <c r="B67" s="7" t="s">
        <v>516</v>
      </c>
      <c r="C67" s="8">
        <v>46013</v>
      </c>
      <c r="D67" s="6">
        <v>0</v>
      </c>
      <c r="E67" s="6">
        <v>1</v>
      </c>
      <c r="F67" s="9" t="s">
        <v>517</v>
      </c>
      <c r="G67" s="6" t="str">
        <f t="shared" si="2"/>
        <v>福島県郡山市大槻町字針生北30-5</v>
      </c>
      <c r="H67" s="6" t="s">
        <v>518</v>
      </c>
      <c r="I67" s="6" t="s">
        <v>519</v>
      </c>
      <c r="J67" s="6" t="s">
        <v>520</v>
      </c>
      <c r="K67" s="6" t="str">
        <f t="shared" si="3"/>
        <v> 大阪府大阪市東住吉区住道矢田七丁目１０番１３号</v>
      </c>
      <c r="L67" s="6"/>
      <c r="M67" s="6" t="s">
        <v>521</v>
      </c>
      <c r="N67" s="12" t="s">
        <v>31</v>
      </c>
      <c r="O67" s="6" t="s">
        <v>522</v>
      </c>
      <c r="P67" s="6"/>
      <c r="Q67" s="6" t="s">
        <v>516</v>
      </c>
      <c r="R67" s="6" t="s">
        <v>523</v>
      </c>
      <c r="S67" s="6" t="s">
        <v>524</v>
      </c>
      <c r="T67" s="6" t="s">
        <v>525</v>
      </c>
      <c r="U67" s="6"/>
      <c r="V67" s="6"/>
      <c r="W67" s="6"/>
      <c r="X67" s="6"/>
      <c r="Y67" s="6" t="s">
        <v>526</v>
      </c>
    </row>
    <row r="68" ht="33.05" customHeight="1" spans="1:25">
      <c r="A68" s="6" t="s">
        <v>527</v>
      </c>
      <c r="B68" s="7" t="s">
        <v>527</v>
      </c>
      <c r="C68" s="8"/>
      <c r="D68" s="6">
        <v>0</v>
      </c>
      <c r="E68" s="6">
        <v>1</v>
      </c>
      <c r="F68" s="9" t="s">
        <v>528</v>
      </c>
      <c r="G68" s="6" t="str">
        <f t="shared" si="2"/>
        <v>東京都千代田区神田佐久間4-15-1PREMIUM CUBE 秋葉原1301号</v>
      </c>
      <c r="H68" s="6" t="s">
        <v>529</v>
      </c>
      <c r="I68" s="6" t="s">
        <v>449</v>
      </c>
      <c r="J68" s="6" t="s">
        <v>194</v>
      </c>
      <c r="K68" s="6" t="str">
        <f t="shared" si="3"/>
        <v> 山形県山形市上町２－９－５</v>
      </c>
      <c r="L68" s="6"/>
      <c r="M68" s="6" t="s">
        <v>86</v>
      </c>
      <c r="N68" s="12" t="s">
        <v>31</v>
      </c>
      <c r="O68" s="6" t="s">
        <v>186</v>
      </c>
      <c r="P68" s="6"/>
      <c r="Q68" s="6" t="s">
        <v>527</v>
      </c>
      <c r="R68" s="6" t="s">
        <v>33</v>
      </c>
      <c r="S68" s="6" t="s">
        <v>530</v>
      </c>
      <c r="T68" s="6" t="s">
        <v>531</v>
      </c>
      <c r="U68" s="6"/>
      <c r="V68" s="6"/>
      <c r="W68" s="6"/>
      <c r="X68" s="6"/>
      <c r="Y68" s="6" t="s">
        <v>199</v>
      </c>
    </row>
    <row r="69" ht="33.05" customHeight="1" spans="1:25">
      <c r="A69" s="6" t="s">
        <v>532</v>
      </c>
      <c r="B69" s="7" t="s">
        <v>532</v>
      </c>
      <c r="C69" s="8"/>
      <c r="D69" s="6">
        <v>0</v>
      </c>
      <c r="E69" s="6">
        <v>1</v>
      </c>
      <c r="F69" s="9" t="s">
        <v>533</v>
      </c>
      <c r="G69" s="6" t="str">
        <f t="shared" si="2"/>
        <v>東京都大田区田園調布5-50-6</v>
      </c>
      <c r="H69" s="6" t="s">
        <v>534</v>
      </c>
      <c r="I69" s="6" t="s">
        <v>535</v>
      </c>
      <c r="J69" s="6" t="s">
        <v>74</v>
      </c>
      <c r="K69" s="6" t="str">
        <f t="shared" si="3"/>
        <v> 東京都大田区上池台３－２４－１４スターハイツ洗足池２　２０２</v>
      </c>
      <c r="L69" s="6"/>
      <c r="M69" s="6" t="s">
        <v>75</v>
      </c>
      <c r="N69" s="12" t="s">
        <v>31</v>
      </c>
      <c r="O69" s="6" t="s">
        <v>124</v>
      </c>
      <c r="P69" s="6"/>
      <c r="Q69" s="6" t="s">
        <v>532</v>
      </c>
      <c r="R69" s="6" t="s">
        <v>33</v>
      </c>
      <c r="S69" s="6" t="s">
        <v>536</v>
      </c>
      <c r="T69" s="6" t="s">
        <v>537</v>
      </c>
      <c r="U69" s="6"/>
      <c r="V69" s="6"/>
      <c r="W69" s="6"/>
      <c r="X69" s="6"/>
      <c r="Y69" s="6" t="s">
        <v>80</v>
      </c>
    </row>
    <row r="70" ht="33.05" hidden="1" customHeight="1" spans="1:25">
      <c r="A70" s="6" t="s">
        <v>538</v>
      </c>
      <c r="B70" s="7" t="s">
        <v>538</v>
      </c>
      <c r="C70" s="8">
        <v>46015</v>
      </c>
      <c r="D70" s="6">
        <v>4</v>
      </c>
      <c r="E70" s="6">
        <v>1</v>
      </c>
      <c r="F70" s="9" t="s">
        <v>539</v>
      </c>
      <c r="G70" s="6" t="str">
        <f t="shared" si="2"/>
        <v>神奈川県藤沢市湘南台1-21-18-301</v>
      </c>
      <c r="H70" s="6" t="s">
        <v>540</v>
      </c>
      <c r="I70" s="6" t="s">
        <v>541</v>
      </c>
      <c r="J70" s="6" t="s">
        <v>405</v>
      </c>
      <c r="K70" s="6" t="str">
        <f t="shared" si="3"/>
        <v> 内本町2‐3‐8</v>
      </c>
      <c r="L70" s="6"/>
      <c r="M70" s="6" t="s">
        <v>331</v>
      </c>
      <c r="N70" s="12" t="s">
        <v>31</v>
      </c>
      <c r="O70" s="6" t="s">
        <v>433</v>
      </c>
      <c r="P70" s="6"/>
      <c r="Q70" s="6" t="s">
        <v>538</v>
      </c>
      <c r="R70" s="6" t="s">
        <v>64</v>
      </c>
      <c r="S70" s="6" t="s">
        <v>542</v>
      </c>
      <c r="T70" s="6" t="s">
        <v>543</v>
      </c>
      <c r="U70" s="6"/>
      <c r="V70" s="6"/>
      <c r="W70" s="6"/>
      <c r="X70" s="6"/>
      <c r="Y70" s="6" t="s">
        <v>335</v>
      </c>
    </row>
    <row r="71" ht="33.05" hidden="1" customHeight="1" spans="1:25">
      <c r="A71" s="6" t="s">
        <v>544</v>
      </c>
      <c r="B71" s="7" t="s">
        <v>544</v>
      </c>
      <c r="C71" s="8"/>
      <c r="D71" s="6">
        <v>1</v>
      </c>
      <c r="E71" s="6">
        <v>1</v>
      </c>
      <c r="F71" s="9" t="s">
        <v>545</v>
      </c>
      <c r="G71" s="6" t="str">
        <f t="shared" si="2"/>
        <v>愛知県名古屋市千種区汁谷町4-1 ヴィークステージ茶屋ヶ坂フォレストテラスF103</v>
      </c>
      <c r="H71" s="6" t="s">
        <v>546</v>
      </c>
      <c r="I71" s="6" t="s">
        <v>547</v>
      </c>
      <c r="J71" s="6" t="s">
        <v>104</v>
      </c>
      <c r="K71" s="6" t="str">
        <f t="shared" si="3"/>
        <v> 神奈川県川崎市高津区下作延２－２２－５クレイノアクアパレス２０５</v>
      </c>
      <c r="L71" s="6"/>
      <c r="M71" s="6" t="s">
        <v>105</v>
      </c>
      <c r="N71" s="12" t="s">
        <v>31</v>
      </c>
      <c r="O71" s="6" t="s">
        <v>548</v>
      </c>
      <c r="P71" s="6"/>
      <c r="Q71" s="6" t="s">
        <v>544</v>
      </c>
      <c r="R71" s="6" t="s">
        <v>97</v>
      </c>
      <c r="S71" s="6" t="s">
        <v>549</v>
      </c>
      <c r="T71" s="6" t="s">
        <v>550</v>
      </c>
      <c r="U71" s="6"/>
      <c r="V71" s="6"/>
      <c r="W71" s="6"/>
      <c r="X71" s="6"/>
      <c r="Y71" s="6" t="s">
        <v>110</v>
      </c>
    </row>
    <row r="72" ht="33.05" customHeight="1" spans="1:25">
      <c r="A72" s="6" t="s">
        <v>551</v>
      </c>
      <c r="B72" s="7" t="s">
        <v>551</v>
      </c>
      <c r="C72" s="8"/>
      <c r="D72" s="6">
        <v>0</v>
      </c>
      <c r="E72" s="6">
        <v>1</v>
      </c>
      <c r="F72" s="9" t="s">
        <v>552</v>
      </c>
      <c r="G72" s="6" t="str">
        <f t="shared" si="2"/>
        <v>千葉県南房総市和田町五十蔵69ー1</v>
      </c>
      <c r="H72" s="6" t="s">
        <v>553</v>
      </c>
      <c r="I72" s="6" t="s">
        <v>554</v>
      </c>
      <c r="J72" s="6" t="s">
        <v>74</v>
      </c>
      <c r="K72" s="6" t="str">
        <f t="shared" si="3"/>
        <v> 東京都大田区上池台３－２４－１４スターハイツ洗足池２　２０２</v>
      </c>
      <c r="L72" s="6"/>
      <c r="M72" s="6" t="s">
        <v>75</v>
      </c>
      <c r="N72" s="12" t="s">
        <v>31</v>
      </c>
      <c r="O72" s="6" t="s">
        <v>555</v>
      </c>
      <c r="P72" s="6"/>
      <c r="Q72" s="6" t="s">
        <v>551</v>
      </c>
      <c r="R72" s="6" t="s">
        <v>556</v>
      </c>
      <c r="S72" s="6" t="s">
        <v>557</v>
      </c>
      <c r="T72" s="6" t="s">
        <v>558</v>
      </c>
      <c r="U72" s="6"/>
      <c r="V72" s="6"/>
      <c r="W72" s="6"/>
      <c r="X72" s="6"/>
      <c r="Y72" s="6" t="s">
        <v>80</v>
      </c>
    </row>
    <row r="73" ht="33.05" hidden="1" customHeight="1" spans="1:25">
      <c r="A73" s="6" t="s">
        <v>559</v>
      </c>
      <c r="B73" s="7" t="s">
        <v>559</v>
      </c>
      <c r="C73" s="8">
        <v>46007</v>
      </c>
      <c r="D73" s="6">
        <v>18</v>
      </c>
      <c r="E73" s="6">
        <v>1</v>
      </c>
      <c r="F73" s="9" t="s">
        <v>560</v>
      </c>
      <c r="G73" s="6" t="str">
        <f t="shared" si="2"/>
        <v>山梨県甲府市高畑1-17-13</v>
      </c>
      <c r="H73" s="6" t="s">
        <v>561</v>
      </c>
      <c r="I73" s="6" t="s">
        <v>562</v>
      </c>
      <c r="J73" s="6" t="s">
        <v>74</v>
      </c>
      <c r="K73" s="6" t="str">
        <f t="shared" si="3"/>
        <v> 東京都大田区上池台３－２４－１４スターハイツ洗足池２　２０２</v>
      </c>
      <c r="L73" s="6"/>
      <c r="M73" s="6" t="s">
        <v>75</v>
      </c>
      <c r="N73" s="12" t="s">
        <v>31</v>
      </c>
      <c r="O73" s="6" t="s">
        <v>265</v>
      </c>
      <c r="P73" s="6"/>
      <c r="Q73" s="6" t="s">
        <v>559</v>
      </c>
      <c r="R73" s="6" t="s">
        <v>563</v>
      </c>
      <c r="S73" s="6" t="s">
        <v>564</v>
      </c>
      <c r="T73" s="6" t="s">
        <v>565</v>
      </c>
      <c r="U73" s="6"/>
      <c r="V73" s="6"/>
      <c r="W73" s="6"/>
      <c r="X73" s="6"/>
      <c r="Y73" s="6" t="s">
        <v>80</v>
      </c>
    </row>
    <row r="74" ht="33.05" customHeight="1" spans="1:25">
      <c r="A74" s="6" t="s">
        <v>566</v>
      </c>
      <c r="B74" s="7" t="s">
        <v>566</v>
      </c>
      <c r="C74" s="8">
        <v>46008</v>
      </c>
      <c r="D74" s="6">
        <v>0</v>
      </c>
      <c r="E74" s="6">
        <v>1</v>
      </c>
      <c r="F74" s="9" t="s">
        <v>567</v>
      </c>
      <c r="G74" s="6" t="str">
        <f t="shared" si="2"/>
        <v>北海道恵庭市島松旭町2丁目5番20号</v>
      </c>
      <c r="H74" s="6" t="s">
        <v>568</v>
      </c>
      <c r="I74" s="6" t="s">
        <v>569</v>
      </c>
      <c r="J74" s="6" t="s">
        <v>570</v>
      </c>
      <c r="K74" s="6" t="str">
        <f t="shared" si="3"/>
        <v> 中区大手町1-1-26-305大手町一番ビル</v>
      </c>
      <c r="L74" s="6"/>
      <c r="M74" s="6" t="s">
        <v>571</v>
      </c>
      <c r="N74" s="12" t="s">
        <v>31</v>
      </c>
      <c r="O74" s="6" t="s">
        <v>572</v>
      </c>
      <c r="P74" s="6"/>
      <c r="Q74" s="6" t="s">
        <v>566</v>
      </c>
      <c r="R74" s="6" t="s">
        <v>77</v>
      </c>
      <c r="S74" s="6" t="s">
        <v>301</v>
      </c>
      <c r="T74" s="6" t="s">
        <v>573</v>
      </c>
      <c r="U74" s="6"/>
      <c r="V74" s="6"/>
      <c r="W74" s="6"/>
      <c r="X74" s="6"/>
      <c r="Y74" s="6" t="s">
        <v>574</v>
      </c>
    </row>
    <row r="75" ht="33.05" customHeight="1" spans="1:25">
      <c r="A75" s="6" t="s">
        <v>575</v>
      </c>
      <c r="B75" s="7" t="s">
        <v>575</v>
      </c>
      <c r="C75" s="8"/>
      <c r="D75" s="6">
        <v>0</v>
      </c>
      <c r="E75" s="6">
        <v>1</v>
      </c>
      <c r="F75" s="9" t="s">
        <v>576</v>
      </c>
      <c r="G75" s="6" t="str">
        <f t="shared" si="2"/>
        <v>甲賀市甲南町塩野 306 滋賀県</v>
      </c>
      <c r="H75" s="6" t="s">
        <v>577</v>
      </c>
      <c r="I75" s="6" t="s">
        <v>578</v>
      </c>
      <c r="J75" s="6"/>
      <c r="K75" s="6" t="str">
        <f t="shared" si="3"/>
        <v> </v>
      </c>
      <c r="L75" s="6"/>
      <c r="M75" s="6" t="s">
        <v>54</v>
      </c>
      <c r="N75" s="12" t="s">
        <v>31</v>
      </c>
      <c r="O75" s="6" t="s">
        <v>579</v>
      </c>
      <c r="P75" s="6"/>
      <c r="Q75" s="6" t="s">
        <v>575</v>
      </c>
      <c r="R75" s="6"/>
      <c r="S75" s="6"/>
      <c r="T75" s="6" t="s">
        <v>580</v>
      </c>
      <c r="U75" s="6"/>
      <c r="V75" s="6"/>
      <c r="W75" s="6"/>
      <c r="X75" s="6"/>
      <c r="Y75" s="6" t="s">
        <v>54</v>
      </c>
    </row>
    <row r="76" ht="33.05" customHeight="1" spans="1:25">
      <c r="A76" s="6" t="s">
        <v>581</v>
      </c>
      <c r="B76" s="7" t="s">
        <v>581</v>
      </c>
      <c r="C76" s="8"/>
      <c r="D76" s="6">
        <v>0</v>
      </c>
      <c r="E76" s="6">
        <v>1</v>
      </c>
      <c r="F76" s="9" t="s">
        <v>582</v>
      </c>
      <c r="G76" s="6" t="str">
        <f t="shared" si="2"/>
        <v>東彼杵郡東彼杵町里郷1178-2 長崎県</v>
      </c>
      <c r="H76" s="6" t="s">
        <v>583</v>
      </c>
      <c r="I76" s="6" t="s">
        <v>584</v>
      </c>
      <c r="J76" s="6"/>
      <c r="K76" s="6" t="str">
        <f t="shared" si="3"/>
        <v> </v>
      </c>
      <c r="L76" s="6"/>
      <c r="M76" s="6" t="s">
        <v>54</v>
      </c>
      <c r="N76" s="12" t="s">
        <v>31</v>
      </c>
      <c r="O76" s="6" t="s">
        <v>579</v>
      </c>
      <c r="P76" s="6"/>
      <c r="Q76" s="6" t="s">
        <v>581</v>
      </c>
      <c r="R76" s="6"/>
      <c r="S76" s="6"/>
      <c r="T76" s="6" t="s">
        <v>585</v>
      </c>
      <c r="U76" s="6"/>
      <c r="V76" s="6"/>
      <c r="W76" s="6"/>
      <c r="X76" s="6"/>
      <c r="Y76" s="6" t="s">
        <v>54</v>
      </c>
    </row>
    <row r="77" ht="33.05" customHeight="1" spans="1:25">
      <c r="A77" s="6" t="s">
        <v>586</v>
      </c>
      <c r="B77" s="7" t="s">
        <v>586</v>
      </c>
      <c r="C77" s="8"/>
      <c r="D77" s="6">
        <v>0</v>
      </c>
      <c r="E77" s="6">
        <v>1</v>
      </c>
      <c r="F77" s="9" t="s">
        <v>587</v>
      </c>
      <c r="G77" s="6" t="str">
        <f t="shared" si="2"/>
        <v>埼玉県戸田市新曽802-2 エクリューズ 204</v>
      </c>
      <c r="H77" s="6" t="s">
        <v>588</v>
      </c>
      <c r="I77" s="6" t="s">
        <v>589</v>
      </c>
      <c r="J77" s="6"/>
      <c r="K77" s="6" t="str">
        <f t="shared" si="3"/>
        <v> </v>
      </c>
      <c r="L77" s="6"/>
      <c r="M77" s="6" t="s">
        <v>54</v>
      </c>
      <c r="N77" s="12" t="s">
        <v>31</v>
      </c>
      <c r="O77" s="6" t="s">
        <v>257</v>
      </c>
      <c r="P77" s="6"/>
      <c r="Q77" s="6" t="s">
        <v>586</v>
      </c>
      <c r="R77" s="6"/>
      <c r="S77" s="6"/>
      <c r="T77" s="6" t="s">
        <v>590</v>
      </c>
      <c r="U77" s="6"/>
      <c r="V77" s="6"/>
      <c r="W77" s="6"/>
      <c r="X77" s="6"/>
      <c r="Y77" s="6" t="s">
        <v>54</v>
      </c>
    </row>
    <row r="78" ht="33.05" customHeight="1" spans="1:25">
      <c r="A78" s="6" t="s">
        <v>591</v>
      </c>
      <c r="B78" s="7" t="s">
        <v>591</v>
      </c>
      <c r="C78" s="8"/>
      <c r="D78" s="6">
        <v>0</v>
      </c>
      <c r="E78" s="6">
        <v>1</v>
      </c>
      <c r="F78" s="9" t="s">
        <v>592</v>
      </c>
      <c r="G78" s="6" t="str">
        <f t="shared" si="2"/>
        <v>宮崎県宮崎市月見ケ丘4-21-23</v>
      </c>
      <c r="H78" s="6" t="s">
        <v>593</v>
      </c>
      <c r="I78" s="6" t="s">
        <v>594</v>
      </c>
      <c r="J78" s="6" t="s">
        <v>47</v>
      </c>
      <c r="K78" s="6" t="str">
        <f t="shared" si="3"/>
        <v>大阪府堺市 中百舌鳥町6丁目１００１-5盲亀浮木の店</v>
      </c>
      <c r="L78" s="6"/>
      <c r="M78" s="6" t="s">
        <v>156</v>
      </c>
      <c r="N78" s="12" t="s">
        <v>31</v>
      </c>
      <c r="O78" s="6" t="s">
        <v>413</v>
      </c>
      <c r="P78" s="6"/>
      <c r="Q78" s="6" t="s">
        <v>591</v>
      </c>
      <c r="R78" s="6" t="s">
        <v>595</v>
      </c>
      <c r="S78" s="6" t="s">
        <v>596</v>
      </c>
      <c r="T78" s="6" t="s">
        <v>597</v>
      </c>
      <c r="U78" s="6" t="s">
        <v>47</v>
      </c>
      <c r="V78" s="6" t="s">
        <v>47</v>
      </c>
      <c r="W78" s="6" t="s">
        <v>161</v>
      </c>
      <c r="X78" s="6" t="s">
        <v>162</v>
      </c>
      <c r="Y78" s="6" t="s">
        <v>163</v>
      </c>
    </row>
    <row r="79" ht="33.05" customHeight="1" spans="1:25">
      <c r="A79" s="6" t="s">
        <v>598</v>
      </c>
      <c r="B79" s="7" t="s">
        <v>598</v>
      </c>
      <c r="C79" s="8"/>
      <c r="D79" s="6">
        <v>0</v>
      </c>
      <c r="E79" s="6">
        <v>1</v>
      </c>
      <c r="F79" s="9" t="s">
        <v>599</v>
      </c>
      <c r="G79" s="6" t="str">
        <f t="shared" si="2"/>
        <v>兵庫県神戸市東灘区鴨子ヶ原3丁目7番25ー2号</v>
      </c>
      <c r="H79" s="6" t="s">
        <v>600</v>
      </c>
      <c r="I79" s="6" t="s">
        <v>601</v>
      </c>
      <c r="J79" s="6" t="s">
        <v>74</v>
      </c>
      <c r="K79" s="6" t="str">
        <f t="shared" si="3"/>
        <v> 東京都大田区上池台３－２４－１４スターハイツ洗足池２　２０２</v>
      </c>
      <c r="L79" s="6"/>
      <c r="M79" s="6" t="s">
        <v>75</v>
      </c>
      <c r="N79" s="12" t="s">
        <v>31</v>
      </c>
      <c r="O79" s="6" t="s">
        <v>602</v>
      </c>
      <c r="P79" s="6"/>
      <c r="Q79" s="6" t="s">
        <v>598</v>
      </c>
      <c r="R79" s="6" t="s">
        <v>603</v>
      </c>
      <c r="S79" s="6" t="s">
        <v>604</v>
      </c>
      <c r="T79" s="6" t="s">
        <v>605</v>
      </c>
      <c r="U79" s="6"/>
      <c r="V79" s="6"/>
      <c r="W79" s="6"/>
      <c r="X79" s="6"/>
      <c r="Y79" s="6" t="s">
        <v>80</v>
      </c>
    </row>
    <row r="80" ht="33.05" customHeight="1" spans="1:25">
      <c r="A80" s="6" t="s">
        <v>606</v>
      </c>
      <c r="B80" s="7" t="s">
        <v>606</v>
      </c>
      <c r="C80" s="8"/>
      <c r="D80" s="6">
        <v>0</v>
      </c>
      <c r="E80" s="6">
        <v>1</v>
      </c>
      <c r="F80" s="9" t="s">
        <v>607</v>
      </c>
      <c r="G80" s="6" t="str">
        <f t="shared" si="2"/>
        <v>大阪府東大阪市上小阪2-8-12</v>
      </c>
      <c r="H80" s="6" t="s">
        <v>608</v>
      </c>
      <c r="I80" s="6" t="s">
        <v>609</v>
      </c>
      <c r="J80" s="6"/>
      <c r="K80" s="6" t="str">
        <f t="shared" si="3"/>
        <v> </v>
      </c>
      <c r="L80" s="6"/>
      <c r="M80" s="6" t="s">
        <v>54</v>
      </c>
      <c r="N80" s="12" t="s">
        <v>31</v>
      </c>
      <c r="O80" s="6" t="s">
        <v>353</v>
      </c>
      <c r="P80" s="6"/>
      <c r="Q80" s="6" t="s">
        <v>606</v>
      </c>
      <c r="R80" s="6"/>
      <c r="S80" s="6"/>
      <c r="T80" s="6" t="s">
        <v>610</v>
      </c>
      <c r="U80" s="6"/>
      <c r="V80" s="6"/>
      <c r="W80" s="6"/>
      <c r="X80" s="6"/>
      <c r="Y80" s="6" t="s">
        <v>54</v>
      </c>
    </row>
    <row r="81" ht="33.05" hidden="1" customHeight="1" spans="1:25">
      <c r="A81" s="6" t="s">
        <v>611</v>
      </c>
      <c r="B81" s="7" t="s">
        <v>611</v>
      </c>
      <c r="C81" s="8">
        <v>46008</v>
      </c>
      <c r="D81" s="6">
        <v>1</v>
      </c>
      <c r="E81" s="6">
        <v>1</v>
      </c>
      <c r="F81" s="9" t="s">
        <v>612</v>
      </c>
      <c r="G81" s="6" t="str">
        <f t="shared" si="2"/>
        <v>北海道札幌市厚別区厚別東三条3丁目9-30</v>
      </c>
      <c r="H81" s="6" t="s">
        <v>613</v>
      </c>
      <c r="I81" s="6" t="s">
        <v>614</v>
      </c>
      <c r="J81" s="6" t="s">
        <v>132</v>
      </c>
      <c r="K81" s="6" t="str">
        <f t="shared" si="3"/>
        <v> 東京都品川区平塚1-13-1</v>
      </c>
      <c r="L81" s="6"/>
      <c r="M81" s="6" t="s">
        <v>133</v>
      </c>
      <c r="N81" s="12" t="s">
        <v>31</v>
      </c>
      <c r="O81" s="6" t="s">
        <v>615</v>
      </c>
      <c r="P81" s="6"/>
      <c r="Q81" s="6" t="s">
        <v>611</v>
      </c>
      <c r="R81" s="6" t="s">
        <v>77</v>
      </c>
      <c r="S81" s="6" t="s">
        <v>379</v>
      </c>
      <c r="T81" s="6" t="s">
        <v>616</v>
      </c>
      <c r="U81" s="6"/>
      <c r="V81" s="6"/>
      <c r="W81" s="6"/>
      <c r="X81" s="6"/>
      <c r="Y81" s="6" t="s">
        <v>136</v>
      </c>
    </row>
    <row r="82" ht="33.05" hidden="1" customHeight="1" spans="1:25">
      <c r="A82" s="6" t="s">
        <v>617</v>
      </c>
      <c r="B82" s="7" t="s">
        <v>617</v>
      </c>
      <c r="C82" s="8">
        <v>46009</v>
      </c>
      <c r="D82" s="6">
        <v>4</v>
      </c>
      <c r="E82" s="6">
        <v>1</v>
      </c>
      <c r="F82" s="9" t="s">
        <v>618</v>
      </c>
      <c r="G82" s="6" t="str">
        <f t="shared" si="2"/>
        <v>埼玉県さいたま市西区内野本郷303-13</v>
      </c>
      <c r="H82" s="6" t="s">
        <v>619</v>
      </c>
      <c r="I82" s="6" t="s">
        <v>620</v>
      </c>
      <c r="J82" s="6" t="s">
        <v>621</v>
      </c>
      <c r="K82" s="6" t="str">
        <f t="shared" si="3"/>
        <v> 西成区北津守４－１３－４３</v>
      </c>
      <c r="L82" s="6"/>
      <c r="M82" s="6" t="s">
        <v>622</v>
      </c>
      <c r="N82" s="12" t="s">
        <v>31</v>
      </c>
      <c r="O82" s="6" t="s">
        <v>623</v>
      </c>
      <c r="P82" s="6"/>
      <c r="Q82" s="6" t="s">
        <v>617</v>
      </c>
      <c r="R82" s="6" t="s">
        <v>219</v>
      </c>
      <c r="S82" s="6" t="s">
        <v>624</v>
      </c>
      <c r="T82" s="6" t="s">
        <v>625</v>
      </c>
      <c r="U82" s="6"/>
      <c r="V82" s="6"/>
      <c r="W82" s="6"/>
      <c r="X82" s="6"/>
      <c r="Y82" s="6" t="s">
        <v>626</v>
      </c>
    </row>
    <row r="83" ht="33.05" customHeight="1" spans="1:25">
      <c r="A83" s="6" t="s">
        <v>627</v>
      </c>
      <c r="B83" s="7" t="s">
        <v>627</v>
      </c>
      <c r="C83" s="8"/>
      <c r="D83" s="6">
        <v>0</v>
      </c>
      <c r="E83" s="6">
        <v>1</v>
      </c>
      <c r="F83" s="9" t="s">
        <v>628</v>
      </c>
      <c r="G83" s="6" t="str">
        <f t="shared" si="2"/>
        <v>岡山県美作市古町1902-1</v>
      </c>
      <c r="H83" s="6" t="s">
        <v>629</v>
      </c>
      <c r="I83" s="6" t="s">
        <v>630</v>
      </c>
      <c r="J83" s="6"/>
      <c r="K83" s="6" t="str">
        <f t="shared" si="3"/>
        <v> </v>
      </c>
      <c r="L83" s="6"/>
      <c r="M83" s="6" t="s">
        <v>54</v>
      </c>
      <c r="N83" s="12" t="s">
        <v>31</v>
      </c>
      <c r="O83" s="6" t="s">
        <v>631</v>
      </c>
      <c r="P83" s="6"/>
      <c r="Q83" s="6" t="s">
        <v>627</v>
      </c>
      <c r="R83" s="6"/>
      <c r="S83" s="6"/>
      <c r="T83" s="6" t="s">
        <v>632</v>
      </c>
      <c r="U83" s="6"/>
      <c r="V83" s="6"/>
      <c r="W83" s="6"/>
      <c r="X83" s="6"/>
      <c r="Y83" s="6" t="s">
        <v>54</v>
      </c>
    </row>
    <row r="84" ht="33.05" customHeight="1" spans="1:25">
      <c r="A84" s="6" t="s">
        <v>633</v>
      </c>
      <c r="B84" s="7">
        <v>365027469903</v>
      </c>
      <c r="C84" s="8"/>
      <c r="D84" s="6">
        <v>0</v>
      </c>
      <c r="E84" s="6">
        <v>1</v>
      </c>
      <c r="F84" s="9" t="s">
        <v>510</v>
      </c>
      <c r="G84" s="6" t="str">
        <f t="shared" si="2"/>
        <v>埼玉県狭山市大字水野５０７－１</v>
      </c>
      <c r="H84" s="6" t="s">
        <v>511</v>
      </c>
      <c r="I84" s="6" t="s">
        <v>512</v>
      </c>
      <c r="J84" s="6"/>
      <c r="K84" s="6" t="str">
        <f t="shared" si="3"/>
        <v> </v>
      </c>
      <c r="L84" s="6"/>
      <c r="M84" s="6" t="s">
        <v>54</v>
      </c>
      <c r="N84" s="12" t="s">
        <v>31</v>
      </c>
      <c r="O84" s="6" t="s">
        <v>257</v>
      </c>
      <c r="P84" s="6"/>
      <c r="Q84" s="6" t="s">
        <v>633</v>
      </c>
      <c r="R84" s="6"/>
      <c r="S84" s="6"/>
      <c r="T84" s="6" t="s">
        <v>513</v>
      </c>
      <c r="U84" s="6"/>
      <c r="V84" s="6"/>
      <c r="W84" s="6"/>
      <c r="X84" s="6"/>
      <c r="Y84" s="6" t="s">
        <v>54</v>
      </c>
    </row>
    <row r="85" ht="33.05" customHeight="1" spans="1:25">
      <c r="A85" s="6" t="s">
        <v>634</v>
      </c>
      <c r="B85" s="7" t="s">
        <v>634</v>
      </c>
      <c r="C85" s="8"/>
      <c r="D85" s="6">
        <v>0</v>
      </c>
      <c r="E85" s="6">
        <v>1</v>
      </c>
      <c r="F85" s="9" t="s">
        <v>635</v>
      </c>
      <c r="G85" s="6" t="str">
        <f t="shared" si="2"/>
        <v>大分県佐伯市直川仁田原７９８番地-1</v>
      </c>
      <c r="H85" s="6" t="s">
        <v>636</v>
      </c>
      <c r="I85" s="6" t="s">
        <v>637</v>
      </c>
      <c r="J85" s="6"/>
      <c r="K85" s="6" t="str">
        <f t="shared" si="3"/>
        <v> </v>
      </c>
      <c r="L85" s="6"/>
      <c r="M85" s="6" t="s">
        <v>54</v>
      </c>
      <c r="N85" s="12" t="s">
        <v>31</v>
      </c>
      <c r="O85" s="6" t="s">
        <v>638</v>
      </c>
      <c r="P85" s="6"/>
      <c r="Q85" s="6" t="s">
        <v>634</v>
      </c>
      <c r="R85" s="6"/>
      <c r="S85" s="6"/>
      <c r="T85" s="6" t="s">
        <v>639</v>
      </c>
      <c r="U85" s="6"/>
      <c r="V85" s="6"/>
      <c r="W85" s="6"/>
      <c r="X85" s="6"/>
      <c r="Y85" s="6" t="s">
        <v>54</v>
      </c>
    </row>
    <row r="86" ht="33.05" customHeight="1" spans="1:25">
      <c r="A86" s="6" t="s">
        <v>640</v>
      </c>
      <c r="B86" s="7" t="s">
        <v>640</v>
      </c>
      <c r="C86" s="8"/>
      <c r="D86" s="6">
        <v>0</v>
      </c>
      <c r="E86" s="6">
        <v>1</v>
      </c>
      <c r="F86" s="9" t="s">
        <v>641</v>
      </c>
      <c r="G86" s="6" t="str">
        <f t="shared" si="2"/>
        <v>NO.3000 ICHINOECHO EDOGAWA-KU TOKYO</v>
      </c>
      <c r="H86" s="6" t="s">
        <v>642</v>
      </c>
      <c r="I86" s="6" t="s">
        <v>643</v>
      </c>
      <c r="J86" s="6"/>
      <c r="K86" s="6" t="str">
        <f t="shared" si="3"/>
        <v> </v>
      </c>
      <c r="L86" s="6"/>
      <c r="M86" s="6" t="s">
        <v>54</v>
      </c>
      <c r="N86" s="12" t="s">
        <v>31</v>
      </c>
      <c r="O86" s="6" t="s">
        <v>644</v>
      </c>
      <c r="P86" s="6"/>
      <c r="Q86" s="6" t="s">
        <v>640</v>
      </c>
      <c r="R86" s="6"/>
      <c r="S86" s="6"/>
      <c r="T86" s="6" t="s">
        <v>645</v>
      </c>
      <c r="U86" s="6"/>
      <c r="V86" s="6"/>
      <c r="W86" s="6"/>
      <c r="X86" s="6"/>
      <c r="Y86" s="6" t="s">
        <v>54</v>
      </c>
    </row>
    <row r="87" ht="33.05" customHeight="1" spans="1:25">
      <c r="A87" s="6" t="s">
        <v>646</v>
      </c>
      <c r="B87" s="7" t="s">
        <v>646</v>
      </c>
      <c r="C87" s="8"/>
      <c r="D87" s="6">
        <v>0</v>
      </c>
      <c r="E87" s="6">
        <v>1</v>
      </c>
      <c r="F87" s="9" t="s">
        <v>647</v>
      </c>
      <c r="G87" s="6" t="str">
        <f t="shared" si="2"/>
        <v>兵庫県高砂市荒井町小松原3丁目1ー3ー202 オリエンタルマンションI</v>
      </c>
      <c r="H87" s="6" t="s">
        <v>648</v>
      </c>
      <c r="I87" s="6" t="s">
        <v>649</v>
      </c>
      <c r="J87" s="6" t="s">
        <v>226</v>
      </c>
      <c r="K87" s="6" t="str">
        <f t="shared" si="3"/>
        <v> 東京都西多摩郡奥多摩町留浦１０１８</v>
      </c>
      <c r="L87" s="6"/>
      <c r="M87" s="6" t="s">
        <v>227</v>
      </c>
      <c r="N87" s="12" t="s">
        <v>31</v>
      </c>
      <c r="O87" s="6" t="s">
        <v>345</v>
      </c>
      <c r="P87" s="6"/>
      <c r="Q87" s="6" t="s">
        <v>646</v>
      </c>
      <c r="R87" s="6" t="s">
        <v>603</v>
      </c>
      <c r="S87" s="6" t="s">
        <v>650</v>
      </c>
      <c r="T87" s="6" t="s">
        <v>651</v>
      </c>
      <c r="U87" s="6"/>
      <c r="V87" s="6"/>
      <c r="W87" s="6"/>
      <c r="X87" s="6"/>
      <c r="Y87" s="6" t="s">
        <v>231</v>
      </c>
    </row>
    <row r="88" ht="33.05" hidden="1" customHeight="1" spans="1:25">
      <c r="A88" s="6" t="s">
        <v>652</v>
      </c>
      <c r="B88" s="7" t="s">
        <v>652</v>
      </c>
      <c r="C88" s="8">
        <v>46010</v>
      </c>
      <c r="D88" s="6">
        <v>1</v>
      </c>
      <c r="E88" s="6">
        <v>1</v>
      </c>
      <c r="F88" s="9" t="s">
        <v>653</v>
      </c>
      <c r="G88" s="6" t="str">
        <f t="shared" si="2"/>
        <v>大分県由布市湯布院町川上331-10</v>
      </c>
      <c r="H88" s="6" t="s">
        <v>654</v>
      </c>
      <c r="I88" s="6" t="s">
        <v>655</v>
      </c>
      <c r="J88" s="6" t="s">
        <v>656</v>
      </c>
      <c r="K88" s="6" t="str">
        <f t="shared" si="3"/>
        <v> 大阪府富田林市平町１－４１０３－１</v>
      </c>
      <c r="L88" s="6"/>
      <c r="M88" s="6" t="s">
        <v>657</v>
      </c>
      <c r="N88" s="12" t="s">
        <v>31</v>
      </c>
      <c r="O88" s="6" t="s">
        <v>555</v>
      </c>
      <c r="P88" s="6"/>
      <c r="Q88" s="6" t="s">
        <v>652</v>
      </c>
      <c r="R88" s="6" t="s">
        <v>658</v>
      </c>
      <c r="S88" s="6" t="s">
        <v>659</v>
      </c>
      <c r="T88" s="6" t="s">
        <v>660</v>
      </c>
      <c r="U88" s="6"/>
      <c r="V88" s="6"/>
      <c r="W88" s="6"/>
      <c r="X88" s="6"/>
      <c r="Y88" s="6" t="s">
        <v>661</v>
      </c>
    </row>
    <row r="89" ht="33.05" hidden="1" customHeight="1" spans="1:25">
      <c r="A89" s="6" t="s">
        <v>662</v>
      </c>
      <c r="B89" s="7" t="s">
        <v>662</v>
      </c>
      <c r="C89" s="8">
        <v>46007</v>
      </c>
      <c r="D89" s="6">
        <v>4</v>
      </c>
      <c r="E89" s="6">
        <v>1</v>
      </c>
      <c r="F89" s="9" t="s">
        <v>663</v>
      </c>
      <c r="G89" s="6" t="str">
        <f t="shared" si="2"/>
        <v>長野県長野市安茂里1728-2</v>
      </c>
      <c r="H89" s="6" t="s">
        <v>664</v>
      </c>
      <c r="I89" s="6" t="s">
        <v>665</v>
      </c>
      <c r="J89" s="6" t="s">
        <v>621</v>
      </c>
      <c r="K89" s="6" t="str">
        <f t="shared" si="3"/>
        <v> 西成区北津守４－１３－４３</v>
      </c>
      <c r="L89" s="6"/>
      <c r="M89" s="6" t="s">
        <v>622</v>
      </c>
      <c r="N89" s="12" t="s">
        <v>31</v>
      </c>
      <c r="O89" s="6" t="s">
        <v>623</v>
      </c>
      <c r="P89" s="6"/>
      <c r="Q89" s="6" t="s">
        <v>662</v>
      </c>
      <c r="R89" s="6" t="s">
        <v>666</v>
      </c>
      <c r="S89" s="6" t="s">
        <v>667</v>
      </c>
      <c r="T89" s="6" t="s">
        <v>668</v>
      </c>
      <c r="U89" s="6"/>
      <c r="V89" s="6"/>
      <c r="W89" s="6"/>
      <c r="X89" s="6"/>
      <c r="Y89" s="6" t="s">
        <v>626</v>
      </c>
    </row>
    <row r="90" ht="33.05" customHeight="1" spans="1:25">
      <c r="A90" s="6" t="s">
        <v>669</v>
      </c>
      <c r="B90" s="7" t="s">
        <v>669</v>
      </c>
      <c r="C90" s="8"/>
      <c r="D90" s="6">
        <v>0</v>
      </c>
      <c r="E90" s="6">
        <v>1</v>
      </c>
      <c r="F90" s="9" t="s">
        <v>670</v>
      </c>
      <c r="G90" s="6" t="str">
        <f t="shared" si="2"/>
        <v>山口県山口市黒川642-15</v>
      </c>
      <c r="H90" s="6" t="s">
        <v>671</v>
      </c>
      <c r="I90" s="6" t="s">
        <v>672</v>
      </c>
      <c r="J90" s="6" t="s">
        <v>621</v>
      </c>
      <c r="K90" s="6" t="str">
        <f t="shared" si="3"/>
        <v> 西成区北津守４－１３－４３</v>
      </c>
      <c r="L90" s="6"/>
      <c r="M90" s="6" t="s">
        <v>622</v>
      </c>
      <c r="N90" s="12" t="s">
        <v>31</v>
      </c>
      <c r="O90" s="6" t="s">
        <v>623</v>
      </c>
      <c r="P90" s="6"/>
      <c r="Q90" s="6" t="s">
        <v>669</v>
      </c>
      <c r="R90" s="6" t="s">
        <v>494</v>
      </c>
      <c r="S90" s="6" t="s">
        <v>673</v>
      </c>
      <c r="T90" s="6" t="s">
        <v>674</v>
      </c>
      <c r="U90" s="6"/>
      <c r="V90" s="6"/>
      <c r="W90" s="6"/>
      <c r="X90" s="6"/>
      <c r="Y90" s="6" t="s">
        <v>626</v>
      </c>
    </row>
    <row r="91" ht="33.05" customHeight="1" spans="1:25">
      <c r="A91" s="6" t="s">
        <v>675</v>
      </c>
      <c r="B91" s="7" t="s">
        <v>675</v>
      </c>
      <c r="C91" s="8"/>
      <c r="D91" s="6">
        <v>0</v>
      </c>
      <c r="E91" s="6">
        <v>1</v>
      </c>
      <c r="F91" s="9" t="s">
        <v>676</v>
      </c>
      <c r="G91" s="6" t="str">
        <f t="shared" si="2"/>
        <v>神奈川県横浜市保土ケ谷区岩井町222 保土ヶ谷フラット3号棟317号</v>
      </c>
      <c r="H91" s="6" t="s">
        <v>677</v>
      </c>
      <c r="I91" s="6" t="s">
        <v>678</v>
      </c>
      <c r="J91" s="6" t="s">
        <v>621</v>
      </c>
      <c r="K91" s="6" t="str">
        <f t="shared" si="3"/>
        <v> 西成区北津守４－１３－４３</v>
      </c>
      <c r="L91" s="6"/>
      <c r="M91" s="6" t="s">
        <v>622</v>
      </c>
      <c r="N91" s="12" t="s">
        <v>31</v>
      </c>
      <c r="O91" s="6" t="s">
        <v>265</v>
      </c>
      <c r="P91" s="6"/>
      <c r="Q91" s="6" t="s">
        <v>675</v>
      </c>
      <c r="R91" s="6" t="s">
        <v>64</v>
      </c>
      <c r="S91" s="6" t="s">
        <v>679</v>
      </c>
      <c r="T91" s="6" t="s">
        <v>680</v>
      </c>
      <c r="U91" s="6"/>
      <c r="V91" s="6"/>
      <c r="W91" s="6"/>
      <c r="X91" s="6"/>
      <c r="Y91" s="6" t="s">
        <v>626</v>
      </c>
    </row>
    <row r="92" ht="33.05" customHeight="1" spans="1:25">
      <c r="A92" s="6" t="s">
        <v>681</v>
      </c>
      <c r="B92" s="7" t="s">
        <v>681</v>
      </c>
      <c r="C92" s="8"/>
      <c r="D92" s="6">
        <v>0</v>
      </c>
      <c r="E92" s="6">
        <v>1</v>
      </c>
      <c r="F92" s="9" t="s">
        <v>587</v>
      </c>
      <c r="G92" s="6" t="str">
        <f t="shared" si="2"/>
        <v>埼玉県戸田市新曽802-2 エクリューズ 204</v>
      </c>
      <c r="H92" s="6" t="s">
        <v>588</v>
      </c>
      <c r="I92" s="6" t="s">
        <v>589</v>
      </c>
      <c r="J92" s="6"/>
      <c r="K92" s="6" t="str">
        <f t="shared" si="3"/>
        <v> </v>
      </c>
      <c r="L92" s="6"/>
      <c r="M92" s="6" t="s">
        <v>54</v>
      </c>
      <c r="N92" s="12" t="s">
        <v>31</v>
      </c>
      <c r="O92" s="6" t="s">
        <v>257</v>
      </c>
      <c r="P92" s="6"/>
      <c r="Q92" s="6" t="s">
        <v>681</v>
      </c>
      <c r="R92" s="6"/>
      <c r="S92" s="6"/>
      <c r="T92" s="6" t="s">
        <v>590</v>
      </c>
      <c r="U92" s="6"/>
      <c r="V92" s="6"/>
      <c r="W92" s="6"/>
      <c r="X92" s="6"/>
      <c r="Y92" s="6" t="s">
        <v>54</v>
      </c>
    </row>
    <row r="93" ht="33.05" customHeight="1" spans="1:25">
      <c r="A93" s="6" t="s">
        <v>682</v>
      </c>
      <c r="B93" s="7" t="s">
        <v>682</v>
      </c>
      <c r="C93" s="8"/>
      <c r="D93" s="6">
        <v>0</v>
      </c>
      <c r="E93" s="6">
        <v>1</v>
      </c>
      <c r="F93" s="9" t="s">
        <v>683</v>
      </c>
      <c r="G93" s="6" t="str">
        <f t="shared" si="2"/>
        <v>北海道白老郡白老町末広町4丁目10-7</v>
      </c>
      <c r="H93" s="6" t="s">
        <v>684</v>
      </c>
      <c r="I93" s="6" t="s">
        <v>685</v>
      </c>
      <c r="J93" s="6" t="s">
        <v>132</v>
      </c>
      <c r="K93" s="6" t="str">
        <f t="shared" si="3"/>
        <v> 東京都品川区平塚1-13-1</v>
      </c>
      <c r="L93" s="6"/>
      <c r="M93" s="6" t="s">
        <v>133</v>
      </c>
      <c r="N93" s="12" t="s">
        <v>31</v>
      </c>
      <c r="O93" s="6" t="s">
        <v>686</v>
      </c>
      <c r="P93" s="6"/>
      <c r="Q93" s="6" t="s">
        <v>682</v>
      </c>
      <c r="R93" s="6" t="s">
        <v>77</v>
      </c>
      <c r="S93" s="6" t="s">
        <v>687</v>
      </c>
      <c r="T93" s="6" t="s">
        <v>688</v>
      </c>
      <c r="U93" s="6"/>
      <c r="V93" s="6"/>
      <c r="W93" s="6"/>
      <c r="X93" s="6"/>
      <c r="Y93" s="6" t="s">
        <v>136</v>
      </c>
    </row>
    <row r="94" ht="33.05" customHeight="1" spans="1:25">
      <c r="A94" s="6" t="s">
        <v>689</v>
      </c>
      <c r="B94" s="7" t="s">
        <v>689</v>
      </c>
      <c r="C94" s="8"/>
      <c r="D94" s="6">
        <v>0</v>
      </c>
      <c r="E94" s="6">
        <v>1</v>
      </c>
      <c r="F94" s="9" t="s">
        <v>510</v>
      </c>
      <c r="G94" s="6" t="str">
        <f t="shared" si="2"/>
        <v>埼玉県狭山市大字水野５０７－１</v>
      </c>
      <c r="H94" s="6" t="s">
        <v>511</v>
      </c>
      <c r="I94" s="6" t="s">
        <v>512</v>
      </c>
      <c r="J94" s="6"/>
      <c r="K94" s="6" t="str">
        <f t="shared" si="3"/>
        <v> </v>
      </c>
      <c r="L94" s="6"/>
      <c r="M94" s="6" t="s">
        <v>54</v>
      </c>
      <c r="N94" s="12" t="s">
        <v>31</v>
      </c>
      <c r="O94" s="6" t="s">
        <v>257</v>
      </c>
      <c r="P94" s="6"/>
      <c r="Q94" s="6" t="s">
        <v>689</v>
      </c>
      <c r="R94" s="6"/>
      <c r="S94" s="6"/>
      <c r="T94" s="6" t="s">
        <v>513</v>
      </c>
      <c r="U94" s="6"/>
      <c r="V94" s="6"/>
      <c r="W94" s="6"/>
      <c r="X94" s="6"/>
      <c r="Y94" s="6" t="s">
        <v>54</v>
      </c>
    </row>
    <row r="95" ht="33.05" customHeight="1" spans="1:25">
      <c r="A95" s="6" t="s">
        <v>690</v>
      </c>
      <c r="B95" s="7" t="s">
        <v>690</v>
      </c>
      <c r="C95" s="8"/>
      <c r="D95" s="6">
        <v>0</v>
      </c>
      <c r="E95" s="6">
        <v>1</v>
      </c>
      <c r="F95" s="9" t="s">
        <v>691</v>
      </c>
      <c r="G95" s="6" t="str">
        <f t="shared" si="2"/>
        <v>徳島県吉野川市鴨島町上下島字野神ノ元125-1 五九郎ビル2F</v>
      </c>
      <c r="H95" s="6" t="s">
        <v>692</v>
      </c>
      <c r="I95" s="6" t="s">
        <v>693</v>
      </c>
      <c r="J95" s="6" t="s">
        <v>621</v>
      </c>
      <c r="K95" s="6" t="str">
        <f t="shared" si="3"/>
        <v> 西成区北津守４－１３－４３</v>
      </c>
      <c r="L95" s="6"/>
      <c r="M95" s="6" t="s">
        <v>622</v>
      </c>
      <c r="N95" s="12" t="s">
        <v>31</v>
      </c>
      <c r="O95" s="6" t="s">
        <v>694</v>
      </c>
      <c r="P95" s="6"/>
      <c r="Q95" s="6" t="s">
        <v>690</v>
      </c>
      <c r="R95" s="6" t="s">
        <v>695</v>
      </c>
      <c r="S95" s="6" t="s">
        <v>696</v>
      </c>
      <c r="T95" s="6" t="s">
        <v>697</v>
      </c>
      <c r="U95" s="6"/>
      <c r="V95" s="6"/>
      <c r="W95" s="6"/>
      <c r="X95" s="6"/>
      <c r="Y95" s="6" t="s">
        <v>626</v>
      </c>
    </row>
    <row r="96" ht="33.05" customHeight="1" spans="1:25">
      <c r="A96" s="6" t="s">
        <v>698</v>
      </c>
      <c r="B96" s="7" t="s">
        <v>698</v>
      </c>
      <c r="C96" s="8"/>
      <c r="D96" s="6">
        <v>0</v>
      </c>
      <c r="E96" s="6">
        <v>1</v>
      </c>
      <c r="F96" s="9" t="s">
        <v>699</v>
      </c>
      <c r="G96" s="6" t="str">
        <f t="shared" si="2"/>
        <v>大阪府吹田市桃山台2-3-8 アンビエラ桃山台208</v>
      </c>
      <c r="H96" s="6" t="s">
        <v>700</v>
      </c>
      <c r="I96" s="6" t="s">
        <v>701</v>
      </c>
      <c r="J96" s="6" t="s">
        <v>520</v>
      </c>
      <c r="K96" s="6" t="str">
        <f t="shared" si="3"/>
        <v> 大阪府大阪市東住吉区住道矢田七丁目１０番１３号</v>
      </c>
      <c r="L96" s="6"/>
      <c r="M96" s="6" t="s">
        <v>521</v>
      </c>
      <c r="N96" s="12" t="s">
        <v>31</v>
      </c>
      <c r="O96" s="6" t="s">
        <v>702</v>
      </c>
      <c r="P96" s="6"/>
      <c r="Q96" s="6" t="s">
        <v>698</v>
      </c>
      <c r="R96" s="6" t="s">
        <v>161</v>
      </c>
      <c r="S96" s="6" t="s">
        <v>703</v>
      </c>
      <c r="T96" s="6" t="s">
        <v>704</v>
      </c>
      <c r="U96" s="6"/>
      <c r="V96" s="6"/>
      <c r="W96" s="6"/>
      <c r="X96" s="6"/>
      <c r="Y96" s="6" t="s">
        <v>526</v>
      </c>
    </row>
    <row r="97" ht="33.05" customHeight="1" spans="1:25">
      <c r="A97" s="6" t="s">
        <v>705</v>
      </c>
      <c r="B97" s="7" t="s">
        <v>705</v>
      </c>
      <c r="C97" s="8"/>
      <c r="D97" s="6">
        <v>0</v>
      </c>
      <c r="E97" s="6">
        <v>1</v>
      </c>
      <c r="F97" s="9" t="s">
        <v>706</v>
      </c>
      <c r="G97" s="6" t="str">
        <f t="shared" si="2"/>
        <v>鹿児島県鹿児島市松陽台町40番地県営住宅松陽台団地34棟104</v>
      </c>
      <c r="H97" s="6" t="s">
        <v>707</v>
      </c>
      <c r="I97" s="6" t="s">
        <v>708</v>
      </c>
      <c r="J97" s="6" t="s">
        <v>709</v>
      </c>
      <c r="K97" s="6" t="str">
        <f t="shared" si="3"/>
        <v> 和歌山県和歌山市西釘貫丁２－５３プレミール石川５０２</v>
      </c>
      <c r="L97" s="6"/>
      <c r="M97" s="6" t="s">
        <v>710</v>
      </c>
      <c r="N97" s="12" t="s">
        <v>31</v>
      </c>
      <c r="O97" s="6" t="s">
        <v>711</v>
      </c>
      <c r="P97" s="6"/>
      <c r="Q97" s="6" t="s">
        <v>705</v>
      </c>
      <c r="R97" s="6" t="s">
        <v>712</v>
      </c>
      <c r="S97" s="6" t="s">
        <v>713</v>
      </c>
      <c r="T97" s="6" t="s">
        <v>714</v>
      </c>
      <c r="U97" s="6"/>
      <c r="V97" s="6"/>
      <c r="W97" s="6"/>
      <c r="X97" s="6"/>
      <c r="Y97" s="6" t="s">
        <v>715</v>
      </c>
    </row>
    <row r="98" ht="33.05" customHeight="1" spans="1:25">
      <c r="A98" s="6" t="s">
        <v>716</v>
      </c>
      <c r="B98" s="7" t="s">
        <v>716</v>
      </c>
      <c r="C98" s="8"/>
      <c r="D98" s="6">
        <v>0</v>
      </c>
      <c r="E98" s="6">
        <v>1</v>
      </c>
      <c r="F98" s="9" t="s">
        <v>717</v>
      </c>
      <c r="G98" s="6" t="str">
        <f t="shared" si="2"/>
        <v>埼玉県さいたま市岩槻区加倉 4-12-3</v>
      </c>
      <c r="H98" s="6" t="s">
        <v>718</v>
      </c>
      <c r="I98" s="6" t="s">
        <v>719</v>
      </c>
      <c r="J98" s="6" t="s">
        <v>132</v>
      </c>
      <c r="K98" s="6" t="str">
        <f t="shared" si="3"/>
        <v> 東京都品川区平塚1-13-1</v>
      </c>
      <c r="L98" s="6"/>
      <c r="M98" s="6" t="s">
        <v>133</v>
      </c>
      <c r="N98" s="12" t="s">
        <v>31</v>
      </c>
      <c r="O98" s="6" t="s">
        <v>720</v>
      </c>
      <c r="P98" s="6"/>
      <c r="Q98" s="6" t="s">
        <v>716</v>
      </c>
      <c r="R98" s="6" t="s">
        <v>219</v>
      </c>
      <c r="S98" s="6" t="s">
        <v>721</v>
      </c>
      <c r="T98" s="6" t="s">
        <v>722</v>
      </c>
      <c r="U98" s="6"/>
      <c r="V98" s="6"/>
      <c r="W98" s="6"/>
      <c r="X98" s="6"/>
      <c r="Y98" s="6" t="s">
        <v>136</v>
      </c>
    </row>
    <row r="99" ht="33.05" customHeight="1" spans="1:25">
      <c r="A99" s="6" t="s">
        <v>723</v>
      </c>
      <c r="B99" s="7" t="s">
        <v>723</v>
      </c>
      <c r="C99" s="8"/>
      <c r="D99" s="6">
        <v>0</v>
      </c>
      <c r="E99" s="6">
        <v>1</v>
      </c>
      <c r="F99" s="9" t="s">
        <v>510</v>
      </c>
      <c r="G99" s="6" t="str">
        <f t="shared" si="2"/>
        <v>埼玉県狭山市大字水野５０７－１</v>
      </c>
      <c r="H99" s="6" t="s">
        <v>511</v>
      </c>
      <c r="I99" s="6" t="s">
        <v>512</v>
      </c>
      <c r="J99" s="6"/>
      <c r="K99" s="6" t="str">
        <f t="shared" si="3"/>
        <v> </v>
      </c>
      <c r="L99" s="6"/>
      <c r="M99" s="6" t="s">
        <v>54</v>
      </c>
      <c r="N99" s="12" t="s">
        <v>31</v>
      </c>
      <c r="O99" s="6" t="s">
        <v>257</v>
      </c>
      <c r="P99" s="6"/>
      <c r="Q99" s="6" t="s">
        <v>723</v>
      </c>
      <c r="R99" s="6"/>
      <c r="S99" s="6"/>
      <c r="T99" s="6" t="s">
        <v>513</v>
      </c>
      <c r="U99" s="6"/>
      <c r="V99" s="6"/>
      <c r="W99" s="6"/>
      <c r="X99" s="6"/>
      <c r="Y99" s="6" t="s">
        <v>54</v>
      </c>
    </row>
    <row r="100" ht="33.05" customHeight="1" spans="1:25">
      <c r="A100" s="6" t="s">
        <v>724</v>
      </c>
      <c r="B100" s="7" t="s">
        <v>724</v>
      </c>
      <c r="C100" s="8"/>
      <c r="D100" s="6">
        <v>0</v>
      </c>
      <c r="E100" s="6">
        <v>1</v>
      </c>
      <c r="F100" s="9" t="s">
        <v>725</v>
      </c>
      <c r="G100" s="6" t="str">
        <f t="shared" si="2"/>
        <v>兵庫県高砂市荒井町小松原3丁目13番10-5</v>
      </c>
      <c r="H100" s="6" t="s">
        <v>726</v>
      </c>
      <c r="I100" s="6" t="s">
        <v>649</v>
      </c>
      <c r="J100" s="6" t="s">
        <v>520</v>
      </c>
      <c r="K100" s="6" t="str">
        <f t="shared" si="3"/>
        <v> 大阪府大阪市東住吉区住道矢田七丁目１０番１３号</v>
      </c>
      <c r="L100" s="6"/>
      <c r="M100" s="6" t="s">
        <v>521</v>
      </c>
      <c r="N100" s="12" t="s">
        <v>31</v>
      </c>
      <c r="O100" s="6" t="s">
        <v>727</v>
      </c>
      <c r="P100" s="6"/>
      <c r="Q100" s="6" t="s">
        <v>724</v>
      </c>
      <c r="R100" s="6" t="s">
        <v>603</v>
      </c>
      <c r="S100" s="6" t="s">
        <v>650</v>
      </c>
      <c r="T100" s="6" t="s">
        <v>728</v>
      </c>
      <c r="U100" s="6"/>
      <c r="V100" s="6"/>
      <c r="W100" s="6"/>
      <c r="X100" s="6"/>
      <c r="Y100" s="6" t="s">
        <v>526</v>
      </c>
    </row>
    <row r="101" ht="33.05" customHeight="1" spans="1:25">
      <c r="A101" s="6" t="s">
        <v>729</v>
      </c>
      <c r="B101" s="7" t="s">
        <v>729</v>
      </c>
      <c r="C101" s="8"/>
      <c r="D101" s="6">
        <v>0</v>
      </c>
      <c r="E101" s="6">
        <v>1</v>
      </c>
      <c r="F101" s="9" t="s">
        <v>730</v>
      </c>
      <c r="G101" s="6" t="str">
        <f t="shared" si="2"/>
        <v>神奈川県横浜市神奈川区三ツ沢南町17-13-106</v>
      </c>
      <c r="H101" s="6" t="s">
        <v>731</v>
      </c>
      <c r="I101" s="6" t="s">
        <v>732</v>
      </c>
      <c r="J101" s="6"/>
      <c r="K101" s="6" t="str">
        <f t="shared" si="3"/>
        <v> </v>
      </c>
      <c r="L101" s="6"/>
      <c r="M101" s="6" t="s">
        <v>54</v>
      </c>
      <c r="N101" s="12" t="s">
        <v>31</v>
      </c>
      <c r="O101" s="6" t="s">
        <v>257</v>
      </c>
      <c r="P101" s="6"/>
      <c r="Q101" s="6" t="s">
        <v>729</v>
      </c>
      <c r="R101" s="6"/>
      <c r="S101" s="6"/>
      <c r="T101" s="6" t="s">
        <v>733</v>
      </c>
      <c r="U101" s="6"/>
      <c r="V101" s="6"/>
      <c r="W101" s="6"/>
      <c r="X101" s="6"/>
      <c r="Y101" s="6" t="s">
        <v>54</v>
      </c>
    </row>
    <row r="102" ht="33.05" customHeight="1" spans="1:25">
      <c r="A102" s="6" t="s">
        <v>734</v>
      </c>
      <c r="B102" s="7" t="s">
        <v>734</v>
      </c>
      <c r="C102" s="8"/>
      <c r="D102" s="6">
        <v>0</v>
      </c>
      <c r="E102" s="6">
        <v>1</v>
      </c>
      <c r="F102" s="9" t="s">
        <v>735</v>
      </c>
      <c r="G102" s="6" t="str">
        <f t="shared" si="2"/>
        <v>静岡県伊東市吉田79-5</v>
      </c>
      <c r="H102" s="6" t="s">
        <v>736</v>
      </c>
      <c r="I102" s="6" t="s">
        <v>737</v>
      </c>
      <c r="J102" s="6"/>
      <c r="K102" s="6" t="str">
        <f t="shared" si="3"/>
        <v> </v>
      </c>
      <c r="L102" s="6"/>
      <c r="M102" s="6" t="s">
        <v>54</v>
      </c>
      <c r="N102" s="12" t="s">
        <v>31</v>
      </c>
      <c r="O102" s="6" t="s">
        <v>257</v>
      </c>
      <c r="P102" s="6"/>
      <c r="Q102" s="6" t="s">
        <v>734</v>
      </c>
      <c r="R102" s="6"/>
      <c r="S102" s="6"/>
      <c r="T102" s="6" t="s">
        <v>738</v>
      </c>
      <c r="U102" s="6"/>
      <c r="V102" s="6"/>
      <c r="W102" s="6"/>
      <c r="X102" s="6"/>
      <c r="Y102" s="6" t="s">
        <v>54</v>
      </c>
    </row>
    <row r="103" ht="33.05" customHeight="1" spans="1:25">
      <c r="A103" s="6" t="s">
        <v>739</v>
      </c>
      <c r="B103" s="7" t="s">
        <v>739</v>
      </c>
      <c r="C103" s="8"/>
      <c r="D103" s="6">
        <v>0</v>
      </c>
      <c r="E103" s="6">
        <v>1</v>
      </c>
      <c r="F103" s="9" t="s">
        <v>740</v>
      </c>
      <c r="G103" s="6" t="str">
        <f t="shared" si="2"/>
        <v>大阪府吹田市五月が丘東6-B-1307</v>
      </c>
      <c r="H103" s="6" t="s">
        <v>741</v>
      </c>
      <c r="I103" s="6" t="s">
        <v>742</v>
      </c>
      <c r="J103" s="6" t="s">
        <v>290</v>
      </c>
      <c r="K103" s="6" t="str">
        <f t="shared" si="3"/>
        <v> 中央区内本町2‐3‐8　ダイアパレスビル本町 1006ミズイシテクノロジー</v>
      </c>
      <c r="L103" s="6"/>
      <c r="M103" s="6" t="s">
        <v>291</v>
      </c>
      <c r="N103" s="12" t="s">
        <v>31</v>
      </c>
      <c r="O103" s="6" t="s">
        <v>743</v>
      </c>
      <c r="P103" s="6"/>
      <c r="Q103" s="6" t="s">
        <v>739</v>
      </c>
      <c r="R103" s="6" t="s">
        <v>161</v>
      </c>
      <c r="S103" s="6" t="s">
        <v>703</v>
      </c>
      <c r="T103" s="6" t="s">
        <v>744</v>
      </c>
      <c r="U103" s="6"/>
      <c r="V103" s="6"/>
      <c r="W103" s="6"/>
      <c r="X103" s="6"/>
      <c r="Y103" s="6" t="s">
        <v>295</v>
      </c>
    </row>
    <row r="104" ht="33.05" customHeight="1" spans="1:25">
      <c r="A104" s="6" t="s">
        <v>745</v>
      </c>
      <c r="B104" s="7" t="s">
        <v>745</v>
      </c>
      <c r="C104" s="8"/>
      <c r="D104" s="6">
        <v>0</v>
      </c>
      <c r="E104" s="6">
        <v>1</v>
      </c>
      <c r="F104" s="9" t="s">
        <v>746</v>
      </c>
      <c r="G104" s="6" t="str">
        <f t="shared" si="2"/>
        <v>兵庫県揖保郡太子町東南344-6</v>
      </c>
      <c r="H104" s="6" t="s">
        <v>747</v>
      </c>
      <c r="I104" s="6" t="s">
        <v>748</v>
      </c>
      <c r="J104" s="6" t="s">
        <v>570</v>
      </c>
      <c r="K104" s="6" t="str">
        <f t="shared" si="3"/>
        <v> 中区大手町1-1-26-305大手町一番ビル</v>
      </c>
      <c r="L104" s="6"/>
      <c r="M104" s="6" t="s">
        <v>571</v>
      </c>
      <c r="N104" s="12" t="s">
        <v>31</v>
      </c>
      <c r="O104" s="6" t="s">
        <v>749</v>
      </c>
      <c r="P104" s="6"/>
      <c r="Q104" s="6" t="s">
        <v>745</v>
      </c>
      <c r="R104" s="6" t="s">
        <v>603</v>
      </c>
      <c r="S104" s="6" t="s">
        <v>750</v>
      </c>
      <c r="T104" s="6" t="s">
        <v>751</v>
      </c>
      <c r="U104" s="6"/>
      <c r="V104" s="6"/>
      <c r="W104" s="6"/>
      <c r="X104" s="6"/>
      <c r="Y104" s="6" t="s">
        <v>574</v>
      </c>
    </row>
    <row r="105" ht="33.05" customHeight="1" spans="1:25">
      <c r="A105" s="6" t="s">
        <v>752</v>
      </c>
      <c r="B105" s="7" t="s">
        <v>752</v>
      </c>
      <c r="C105" s="8"/>
      <c r="D105" s="6">
        <v>0</v>
      </c>
      <c r="E105" s="6">
        <v>1</v>
      </c>
      <c r="F105" s="9" t="s">
        <v>753</v>
      </c>
      <c r="G105" s="6" t="str">
        <f t="shared" si="2"/>
        <v>北海道釧路市美原四丁目5-18 美原四丁目宿舎 102号室</v>
      </c>
      <c r="H105" s="6" t="s">
        <v>754</v>
      </c>
      <c r="I105" s="6" t="s">
        <v>755</v>
      </c>
      <c r="J105" s="6" t="s">
        <v>330</v>
      </c>
      <c r="K105" s="6" t="str">
        <f t="shared" si="3"/>
        <v> 内本町2‐3‐8</v>
      </c>
      <c r="L105" s="6"/>
      <c r="M105" s="6" t="s">
        <v>331</v>
      </c>
      <c r="N105" s="12" t="s">
        <v>31</v>
      </c>
      <c r="O105" s="6" t="s">
        <v>756</v>
      </c>
      <c r="P105" s="6"/>
      <c r="Q105" s="6" t="s">
        <v>752</v>
      </c>
      <c r="R105" s="6" t="s">
        <v>77</v>
      </c>
      <c r="S105" s="6" t="s">
        <v>273</v>
      </c>
      <c r="T105" s="6" t="s">
        <v>757</v>
      </c>
      <c r="U105" s="6"/>
      <c r="V105" s="6"/>
      <c r="W105" s="6"/>
      <c r="X105" s="6"/>
      <c r="Y105" s="6" t="s">
        <v>335</v>
      </c>
    </row>
    <row r="106" ht="33.05" customHeight="1" spans="1:25">
      <c r="A106" s="6" t="s">
        <v>758</v>
      </c>
      <c r="B106" s="7" t="s">
        <v>758</v>
      </c>
      <c r="C106" s="8"/>
      <c r="D106" s="6">
        <v>0</v>
      </c>
      <c r="E106" s="6">
        <v>1</v>
      </c>
      <c r="F106" s="9" t="s">
        <v>759</v>
      </c>
      <c r="G106" s="6" t="str">
        <f t="shared" si="2"/>
        <v>群馬県伊勢崎市昭和町1689-4</v>
      </c>
      <c r="H106" s="6" t="s">
        <v>760</v>
      </c>
      <c r="I106" s="6" t="s">
        <v>761</v>
      </c>
      <c r="J106" s="6" t="s">
        <v>132</v>
      </c>
      <c r="K106" s="6" t="str">
        <f t="shared" si="3"/>
        <v> 東京都品川区平塚1-13-1</v>
      </c>
      <c r="L106" s="6"/>
      <c r="M106" s="6" t="s">
        <v>133</v>
      </c>
      <c r="N106" s="12" t="s">
        <v>31</v>
      </c>
      <c r="O106" s="6" t="s">
        <v>63</v>
      </c>
      <c r="P106" s="6"/>
      <c r="Q106" s="6" t="s">
        <v>758</v>
      </c>
      <c r="R106" s="6" t="s">
        <v>169</v>
      </c>
      <c r="S106" s="6" t="s">
        <v>762</v>
      </c>
      <c r="T106" s="6" t="s">
        <v>763</v>
      </c>
      <c r="U106" s="6"/>
      <c r="V106" s="6"/>
      <c r="W106" s="6"/>
      <c r="X106" s="6"/>
      <c r="Y106" s="6" t="s">
        <v>136</v>
      </c>
    </row>
    <row r="107" ht="33.05" customHeight="1" spans="1:25">
      <c r="A107" s="6" t="s">
        <v>764</v>
      </c>
      <c r="B107" s="7" t="s">
        <v>764</v>
      </c>
      <c r="C107" s="8"/>
      <c r="D107" s="6">
        <v>0</v>
      </c>
      <c r="E107" s="6">
        <v>1</v>
      </c>
      <c r="F107" s="9" t="s">
        <v>765</v>
      </c>
      <c r="G107" s="6" t="str">
        <f t="shared" si="2"/>
        <v>愛知県名古屋市中村区名駅南3丁目3-16ディモーラ名駅南301</v>
      </c>
      <c r="H107" s="6" t="s">
        <v>766</v>
      </c>
      <c r="I107" s="6" t="s">
        <v>767</v>
      </c>
      <c r="J107" s="6" t="s">
        <v>621</v>
      </c>
      <c r="K107" s="6" t="str">
        <f t="shared" si="3"/>
        <v> 西成区北津守４－１３－４３</v>
      </c>
      <c r="L107" s="6"/>
      <c r="M107" s="6" t="s">
        <v>622</v>
      </c>
      <c r="N107" s="12" t="s">
        <v>31</v>
      </c>
      <c r="O107" s="6" t="s">
        <v>623</v>
      </c>
      <c r="P107" s="6"/>
      <c r="Q107" s="6" t="s">
        <v>764</v>
      </c>
      <c r="R107" s="6" t="s">
        <v>97</v>
      </c>
      <c r="S107" s="6" t="s">
        <v>768</v>
      </c>
      <c r="T107" s="6" t="s">
        <v>769</v>
      </c>
      <c r="U107" s="6"/>
      <c r="V107" s="6"/>
      <c r="W107" s="6"/>
      <c r="X107" s="6"/>
      <c r="Y107" s="6" t="s">
        <v>626</v>
      </c>
    </row>
    <row r="108" ht="33.05" customHeight="1" spans="1:25">
      <c r="A108" s="6" t="s">
        <v>770</v>
      </c>
      <c r="B108" s="7" t="s">
        <v>770</v>
      </c>
      <c r="C108" s="8">
        <v>46007</v>
      </c>
      <c r="D108" s="6">
        <v>0</v>
      </c>
      <c r="E108" s="6">
        <v>1</v>
      </c>
      <c r="F108" s="9" t="s">
        <v>771</v>
      </c>
      <c r="G108" s="6" t="str">
        <f t="shared" si="2"/>
        <v>東京都世田谷区船橋6-27-1-7102025-12-16(火)</v>
      </c>
      <c r="H108" s="6" t="s">
        <v>772</v>
      </c>
      <c r="I108" s="6" t="s">
        <v>773</v>
      </c>
      <c r="J108" s="6" t="s">
        <v>405</v>
      </c>
      <c r="K108" s="6" t="str">
        <f t="shared" si="3"/>
        <v> 内本町2‐3‐8</v>
      </c>
      <c r="L108" s="6"/>
      <c r="M108" s="6" t="s">
        <v>331</v>
      </c>
      <c r="N108" s="12" t="s">
        <v>31</v>
      </c>
      <c r="O108" s="6" t="s">
        <v>615</v>
      </c>
      <c r="P108" s="6"/>
      <c r="Q108" s="6" t="s">
        <v>770</v>
      </c>
      <c r="R108" s="6" t="s">
        <v>33</v>
      </c>
      <c r="S108" s="6" t="s">
        <v>774</v>
      </c>
      <c r="T108" s="6" t="s">
        <v>775</v>
      </c>
      <c r="U108" s="6"/>
      <c r="V108" s="6"/>
      <c r="W108" s="6"/>
      <c r="X108" s="6"/>
      <c r="Y108" s="6" t="s">
        <v>335</v>
      </c>
    </row>
    <row r="109" ht="33.05" customHeight="1" spans="1:25">
      <c r="A109" s="6" t="s">
        <v>776</v>
      </c>
      <c r="B109" s="7" t="s">
        <v>776</v>
      </c>
      <c r="C109" s="8"/>
      <c r="D109" s="6">
        <v>0</v>
      </c>
      <c r="E109" s="6">
        <v>1</v>
      </c>
      <c r="F109" s="9" t="s">
        <v>777</v>
      </c>
      <c r="G109" s="6" t="str">
        <f t="shared" si="2"/>
        <v>北海道岩見沢市上幌向北一条5丁目758-41</v>
      </c>
      <c r="H109" s="6" t="s">
        <v>778</v>
      </c>
      <c r="I109" s="6" t="s">
        <v>779</v>
      </c>
      <c r="J109" s="6" t="s">
        <v>709</v>
      </c>
      <c r="K109" s="6" t="str">
        <f t="shared" si="3"/>
        <v> 和歌山県和歌山市西釘貫丁２－５３プレミール石川５０２</v>
      </c>
      <c r="L109" s="6"/>
      <c r="M109" s="6" t="s">
        <v>710</v>
      </c>
      <c r="N109" s="12" t="s">
        <v>31</v>
      </c>
      <c r="O109" s="6" t="s">
        <v>780</v>
      </c>
      <c r="P109" s="6"/>
      <c r="Q109" s="6" t="s">
        <v>776</v>
      </c>
      <c r="R109" s="6" t="s">
        <v>77</v>
      </c>
      <c r="S109" s="6" t="s">
        <v>781</v>
      </c>
      <c r="T109" s="6" t="s">
        <v>782</v>
      </c>
      <c r="U109" s="6"/>
      <c r="V109" s="6"/>
      <c r="W109" s="6"/>
      <c r="X109" s="6"/>
      <c r="Y109" s="6" t="s">
        <v>715</v>
      </c>
    </row>
    <row r="110" ht="33.05" customHeight="1" spans="1:25">
      <c r="A110" s="6" t="s">
        <v>783</v>
      </c>
      <c r="B110" s="7" t="s">
        <v>783</v>
      </c>
      <c r="C110" s="8"/>
      <c r="D110" s="6">
        <v>0</v>
      </c>
      <c r="E110" s="6">
        <v>1</v>
      </c>
      <c r="F110" s="9" t="s">
        <v>784</v>
      </c>
      <c r="G110" s="6" t="str">
        <f t="shared" si="2"/>
        <v>静岡県浜松市中央区小池町2642</v>
      </c>
      <c r="H110" s="6" t="s">
        <v>785</v>
      </c>
      <c r="I110" s="6" t="s">
        <v>786</v>
      </c>
      <c r="J110" s="6"/>
      <c r="K110" s="6" t="str">
        <f t="shared" si="3"/>
        <v> </v>
      </c>
      <c r="L110" s="6"/>
      <c r="M110" s="6" t="s">
        <v>54</v>
      </c>
      <c r="N110" s="12" t="s">
        <v>31</v>
      </c>
      <c r="O110" s="6" t="s">
        <v>76</v>
      </c>
      <c r="P110" s="6"/>
      <c r="Q110" s="6" t="s">
        <v>783</v>
      </c>
      <c r="R110" s="6"/>
      <c r="S110" s="6"/>
      <c r="T110" s="6" t="s">
        <v>787</v>
      </c>
      <c r="U110" s="6"/>
      <c r="V110" s="6"/>
      <c r="W110" s="6"/>
      <c r="X110" s="6"/>
      <c r="Y110" s="6" t="s">
        <v>54</v>
      </c>
    </row>
    <row r="111" ht="33.05" customHeight="1" spans="1:25">
      <c r="A111" s="6" t="s">
        <v>788</v>
      </c>
      <c r="B111" s="7" t="s">
        <v>788</v>
      </c>
      <c r="C111" s="8"/>
      <c r="D111" s="6">
        <v>0</v>
      </c>
      <c r="E111" s="6">
        <v>1</v>
      </c>
      <c r="F111" s="9" t="s">
        <v>789</v>
      </c>
      <c r="G111" s="6" t="str">
        <f t="shared" si="2"/>
        <v>青森県青森市桜川9-9-24</v>
      </c>
      <c r="H111" s="6" t="s">
        <v>790</v>
      </c>
      <c r="I111" s="6" t="s">
        <v>791</v>
      </c>
      <c r="J111" s="6" t="s">
        <v>405</v>
      </c>
      <c r="K111" s="6" t="str">
        <f t="shared" si="3"/>
        <v> 内本町2‐3‐8</v>
      </c>
      <c r="L111" s="6"/>
      <c r="M111" s="6" t="s">
        <v>331</v>
      </c>
      <c r="N111" s="12" t="s">
        <v>31</v>
      </c>
      <c r="O111" s="6" t="s">
        <v>792</v>
      </c>
      <c r="P111" s="6"/>
      <c r="Q111" s="6" t="s">
        <v>788</v>
      </c>
      <c r="R111" s="6" t="s">
        <v>793</v>
      </c>
      <c r="S111" s="6" t="s">
        <v>794</v>
      </c>
      <c r="T111" s="6" t="s">
        <v>795</v>
      </c>
      <c r="U111" s="6"/>
      <c r="V111" s="6"/>
      <c r="W111" s="6"/>
      <c r="X111" s="6"/>
      <c r="Y111" s="6" t="s">
        <v>335</v>
      </c>
    </row>
    <row r="112" ht="33.05" customHeight="1" spans="1:25">
      <c r="A112" s="6" t="s">
        <v>796</v>
      </c>
      <c r="B112" s="7" t="s">
        <v>796</v>
      </c>
      <c r="C112" s="8"/>
      <c r="D112" s="6">
        <v>0</v>
      </c>
      <c r="E112" s="6">
        <v>1</v>
      </c>
      <c r="F112" s="9" t="s">
        <v>797</v>
      </c>
      <c r="G112" s="6" t="str">
        <f t="shared" si="2"/>
        <v>静岡県富士市さんどまき57番地</v>
      </c>
      <c r="H112" s="6" t="s">
        <v>798</v>
      </c>
      <c r="I112" s="6" t="s">
        <v>799</v>
      </c>
      <c r="J112" s="6" t="s">
        <v>290</v>
      </c>
      <c r="K112" s="6" t="str">
        <f t="shared" si="3"/>
        <v> 中央区内本町2‐3‐8　ダイアパレスビル本町 1006ミズイシテクノロジー</v>
      </c>
      <c r="L112" s="6"/>
      <c r="M112" s="6" t="s">
        <v>291</v>
      </c>
      <c r="N112" s="12" t="s">
        <v>31</v>
      </c>
      <c r="O112" s="6" t="s">
        <v>800</v>
      </c>
      <c r="P112" s="6"/>
      <c r="Q112" s="6" t="s">
        <v>796</v>
      </c>
      <c r="R112" s="6" t="s">
        <v>158</v>
      </c>
      <c r="S112" s="6" t="s">
        <v>801</v>
      </c>
      <c r="T112" s="6" t="s">
        <v>802</v>
      </c>
      <c r="U112" s="6"/>
      <c r="V112" s="6"/>
      <c r="W112" s="6"/>
      <c r="X112" s="6"/>
      <c r="Y112" s="6" t="s">
        <v>295</v>
      </c>
    </row>
    <row r="113" ht="33.05" customHeight="1" spans="1:25">
      <c r="A113" s="6" t="s">
        <v>803</v>
      </c>
      <c r="B113" s="7" t="s">
        <v>803</v>
      </c>
      <c r="C113" s="8"/>
      <c r="D113" s="6">
        <v>0</v>
      </c>
      <c r="E113" s="6">
        <v>1</v>
      </c>
      <c r="F113" s="9" t="s">
        <v>804</v>
      </c>
      <c r="G113" s="6" t="str">
        <f t="shared" si="2"/>
        <v>滋賀県彦根市野田山町569-1 ゴールドパティー5 103</v>
      </c>
      <c r="H113" s="6" t="s">
        <v>805</v>
      </c>
      <c r="I113" s="6" t="s">
        <v>806</v>
      </c>
      <c r="J113" s="6" t="s">
        <v>47</v>
      </c>
      <c r="K113" s="6" t="str">
        <f t="shared" si="3"/>
        <v>千葉県流山市 平方 字下中谷806-1 GLP　ALFALINK8-1F　 13番</v>
      </c>
      <c r="L113" s="6"/>
      <c r="M113" s="6" t="s">
        <v>62</v>
      </c>
      <c r="N113" s="12" t="s">
        <v>31</v>
      </c>
      <c r="O113" s="6" t="s">
        <v>807</v>
      </c>
      <c r="P113" s="6"/>
      <c r="Q113" s="6" t="s">
        <v>803</v>
      </c>
      <c r="R113" s="6" t="s">
        <v>88</v>
      </c>
      <c r="S113" s="6" t="s">
        <v>808</v>
      </c>
      <c r="T113" s="6" t="s">
        <v>809</v>
      </c>
      <c r="U113" s="6" t="s">
        <v>47</v>
      </c>
      <c r="V113" s="6" t="s">
        <v>47</v>
      </c>
      <c r="W113" s="6" t="s">
        <v>556</v>
      </c>
      <c r="X113" s="6" t="s">
        <v>810</v>
      </c>
      <c r="Y113" s="6" t="s">
        <v>811</v>
      </c>
    </row>
    <row r="114" ht="33.05" customHeight="1" spans="1:25">
      <c r="A114" s="6" t="s">
        <v>812</v>
      </c>
      <c r="B114" s="7" t="s">
        <v>812</v>
      </c>
      <c r="C114" s="8"/>
      <c r="D114" s="6">
        <v>0</v>
      </c>
      <c r="E114" s="6">
        <v>1</v>
      </c>
      <c r="F114" s="9" t="s">
        <v>813</v>
      </c>
      <c r="G114" s="6" t="str">
        <f t="shared" si="2"/>
        <v>北海道旭川市豊岡1条6丁目3-18</v>
      </c>
      <c r="H114" s="6" t="s">
        <v>814</v>
      </c>
      <c r="I114" s="6" t="s">
        <v>815</v>
      </c>
      <c r="J114" s="6" t="s">
        <v>816</v>
      </c>
      <c r="K114" s="6" t="str">
        <f t="shared" si="3"/>
        <v> 大阪府大阪市東住吉区住道矢田七丁目１０番１３号</v>
      </c>
      <c r="L114" s="6"/>
      <c r="M114" s="6" t="s">
        <v>521</v>
      </c>
      <c r="N114" s="12" t="s">
        <v>31</v>
      </c>
      <c r="O114" s="6" t="s">
        <v>265</v>
      </c>
      <c r="P114" s="6"/>
      <c r="Q114" s="6" t="s">
        <v>812</v>
      </c>
      <c r="R114" s="6" t="s">
        <v>77</v>
      </c>
      <c r="S114" s="6" t="s">
        <v>817</v>
      </c>
      <c r="T114" s="6" t="s">
        <v>818</v>
      </c>
      <c r="U114" s="6"/>
      <c r="V114" s="6"/>
      <c r="W114" s="6"/>
      <c r="X114" s="6"/>
      <c r="Y114" s="6" t="s">
        <v>526</v>
      </c>
    </row>
    <row r="115" ht="33.05" hidden="1" customHeight="1" spans="1:25">
      <c r="A115" s="6" t="s">
        <v>819</v>
      </c>
      <c r="B115" s="7" t="s">
        <v>819</v>
      </c>
      <c r="C115" s="8">
        <v>46004</v>
      </c>
      <c r="D115" s="6">
        <v>1</v>
      </c>
      <c r="E115" s="6">
        <v>1</v>
      </c>
      <c r="F115" s="9" t="s">
        <v>820</v>
      </c>
      <c r="G115" s="6" t="str">
        <f t="shared" si="2"/>
        <v>東京都中野区中央4丁目53-4 ベルプラザ402（午前中お願い）</v>
      </c>
      <c r="H115" s="6" t="s">
        <v>821</v>
      </c>
      <c r="I115" s="6" t="s">
        <v>822</v>
      </c>
      <c r="J115" s="6" t="s">
        <v>405</v>
      </c>
      <c r="K115" s="6" t="str">
        <f t="shared" si="3"/>
        <v> 内本町2‐3‐8</v>
      </c>
      <c r="L115" s="6"/>
      <c r="M115" s="6" t="s">
        <v>331</v>
      </c>
      <c r="N115" s="12" t="s">
        <v>31</v>
      </c>
      <c r="O115" s="6" t="s">
        <v>433</v>
      </c>
      <c r="P115" s="6"/>
      <c r="Q115" s="6" t="s">
        <v>819</v>
      </c>
      <c r="R115" s="6" t="s">
        <v>33</v>
      </c>
      <c r="S115" s="6" t="s">
        <v>823</v>
      </c>
      <c r="T115" s="6" t="s">
        <v>824</v>
      </c>
      <c r="U115" s="6"/>
      <c r="V115" s="6"/>
      <c r="W115" s="6"/>
      <c r="X115" s="6"/>
      <c r="Y115" s="6" t="s">
        <v>335</v>
      </c>
    </row>
    <row r="116" ht="33.05" hidden="1" customHeight="1" spans="1:25">
      <c r="A116" s="6" t="s">
        <v>825</v>
      </c>
      <c r="B116" s="7" t="s">
        <v>825</v>
      </c>
      <c r="C116" s="8">
        <v>46010</v>
      </c>
      <c r="D116" s="6">
        <v>19</v>
      </c>
      <c r="E116" s="6">
        <v>1</v>
      </c>
      <c r="F116" s="9" t="s">
        <v>826</v>
      </c>
      <c r="G116" s="6" t="str">
        <f t="shared" si="2"/>
        <v>奈良県橿原市地黄町82-31</v>
      </c>
      <c r="H116" s="6" t="s">
        <v>827</v>
      </c>
      <c r="I116" s="6" t="s">
        <v>828</v>
      </c>
      <c r="J116" s="6" t="s">
        <v>226</v>
      </c>
      <c r="K116" s="6" t="str">
        <f t="shared" si="3"/>
        <v> 東京都西多摩郡奥多摩町留浦１０１８</v>
      </c>
      <c r="L116" s="6"/>
      <c r="M116" s="6" t="s">
        <v>227</v>
      </c>
      <c r="N116" s="12" t="s">
        <v>31</v>
      </c>
      <c r="O116" s="6" t="s">
        <v>829</v>
      </c>
      <c r="P116" s="6"/>
      <c r="Q116" s="6" t="s">
        <v>825</v>
      </c>
      <c r="R116" s="6" t="s">
        <v>830</v>
      </c>
      <c r="S116" s="6" t="s">
        <v>831</v>
      </c>
      <c r="T116" s="6" t="s">
        <v>832</v>
      </c>
      <c r="U116" s="6"/>
      <c r="V116" s="6"/>
      <c r="W116" s="6"/>
      <c r="X116" s="6"/>
      <c r="Y116" s="6" t="s">
        <v>231</v>
      </c>
    </row>
    <row r="117" ht="33.05" customHeight="1" spans="1:25">
      <c r="A117" s="6" t="s">
        <v>833</v>
      </c>
      <c r="B117" s="7" t="s">
        <v>833</v>
      </c>
      <c r="C117" s="8">
        <v>46007</v>
      </c>
      <c r="D117" s="6">
        <v>0</v>
      </c>
      <c r="E117" s="6">
        <v>1</v>
      </c>
      <c r="F117" s="9" t="s">
        <v>834</v>
      </c>
      <c r="G117" s="6" t="str">
        <f t="shared" si="2"/>
        <v>栃木県大田原市中野内1879の3</v>
      </c>
      <c r="H117" s="6" t="s">
        <v>835</v>
      </c>
      <c r="I117" s="6" t="s">
        <v>836</v>
      </c>
      <c r="J117" s="6" t="s">
        <v>621</v>
      </c>
      <c r="K117" s="6" t="str">
        <f t="shared" si="3"/>
        <v> 西成区北津守４－１３－４３</v>
      </c>
      <c r="L117" s="6"/>
      <c r="M117" s="6" t="s">
        <v>622</v>
      </c>
      <c r="N117" s="12" t="s">
        <v>31</v>
      </c>
      <c r="O117" s="6" t="s">
        <v>623</v>
      </c>
      <c r="P117" s="6"/>
      <c r="Q117" s="6" t="s">
        <v>833</v>
      </c>
      <c r="R117" s="6" t="s">
        <v>346</v>
      </c>
      <c r="S117" s="6" t="s">
        <v>837</v>
      </c>
      <c r="T117" s="6" t="s">
        <v>838</v>
      </c>
      <c r="U117" s="6"/>
      <c r="V117" s="6"/>
      <c r="W117" s="6"/>
      <c r="X117" s="6"/>
      <c r="Y117" s="6" t="s">
        <v>626</v>
      </c>
    </row>
    <row r="118" ht="33.05" customHeight="1" spans="1:25">
      <c r="A118" s="6" t="s">
        <v>839</v>
      </c>
      <c r="B118" s="7" t="s">
        <v>839</v>
      </c>
      <c r="C118" s="8"/>
      <c r="D118" s="6">
        <v>0</v>
      </c>
      <c r="E118" s="6">
        <v>1</v>
      </c>
      <c r="F118" s="9" t="s">
        <v>840</v>
      </c>
      <c r="G118" s="6" t="str">
        <f t="shared" si="2"/>
        <v>茨城県つくば市台町1-9-1</v>
      </c>
      <c r="H118" s="6" t="s">
        <v>841</v>
      </c>
      <c r="I118" s="6" t="s">
        <v>842</v>
      </c>
      <c r="J118" s="6" t="s">
        <v>330</v>
      </c>
      <c r="K118" s="6" t="str">
        <f t="shared" si="3"/>
        <v> 内本町2‐3‐8</v>
      </c>
      <c r="L118" s="6"/>
      <c r="M118" s="6" t="s">
        <v>331</v>
      </c>
      <c r="N118" s="12" t="s">
        <v>31</v>
      </c>
      <c r="O118" s="6" t="s">
        <v>332</v>
      </c>
      <c r="P118" s="6"/>
      <c r="Q118" s="6" t="s">
        <v>839</v>
      </c>
      <c r="R118" s="6" t="s">
        <v>843</v>
      </c>
      <c r="S118" s="6" t="s">
        <v>844</v>
      </c>
      <c r="T118" s="6" t="s">
        <v>845</v>
      </c>
      <c r="U118" s="6"/>
      <c r="V118" s="6"/>
      <c r="W118" s="6"/>
      <c r="X118" s="6"/>
      <c r="Y118" s="6" t="s">
        <v>335</v>
      </c>
    </row>
    <row r="119" ht="33.05" customHeight="1" spans="1:25">
      <c r="A119" s="6" t="s">
        <v>846</v>
      </c>
      <c r="B119" s="7" t="s">
        <v>846</v>
      </c>
      <c r="C119" s="8"/>
      <c r="D119" s="6">
        <v>0</v>
      </c>
      <c r="E119" s="6">
        <v>1</v>
      </c>
      <c r="F119" s="9" t="s">
        <v>847</v>
      </c>
      <c r="G119" s="6" t="str">
        <f t="shared" si="2"/>
        <v>北海道札幌市東区東雁来九条2丁目11-18</v>
      </c>
      <c r="H119" s="6" t="s">
        <v>848</v>
      </c>
      <c r="I119" s="6" t="s">
        <v>849</v>
      </c>
      <c r="J119" s="6" t="s">
        <v>570</v>
      </c>
      <c r="K119" s="6" t="str">
        <f t="shared" si="3"/>
        <v> 中区大手町1-1-26-305大手町一番ビル</v>
      </c>
      <c r="L119" s="6"/>
      <c r="M119" s="6" t="s">
        <v>571</v>
      </c>
      <c r="N119" s="12" t="s">
        <v>31</v>
      </c>
      <c r="O119" s="6" t="s">
        <v>850</v>
      </c>
      <c r="P119" s="6"/>
      <c r="Q119" s="6" t="s">
        <v>846</v>
      </c>
      <c r="R119" s="6" t="s">
        <v>77</v>
      </c>
      <c r="S119" s="6" t="s">
        <v>851</v>
      </c>
      <c r="T119" s="6" t="s">
        <v>852</v>
      </c>
      <c r="U119" s="6"/>
      <c r="V119" s="6"/>
      <c r="W119" s="6"/>
      <c r="X119" s="6"/>
      <c r="Y119" s="6" t="s">
        <v>574</v>
      </c>
    </row>
    <row r="120" ht="33.05" hidden="1" customHeight="1" spans="1:25">
      <c r="A120" s="6" t="s">
        <v>853</v>
      </c>
      <c r="B120" s="7" t="s">
        <v>853</v>
      </c>
      <c r="C120" s="8">
        <v>46009</v>
      </c>
      <c r="D120" s="6">
        <v>12</v>
      </c>
      <c r="E120" s="6">
        <v>1</v>
      </c>
      <c r="F120" s="9" t="s">
        <v>854</v>
      </c>
      <c r="G120" s="6" t="str">
        <f t="shared" si="2"/>
        <v>島根県安来市宮内町318番地7</v>
      </c>
      <c r="H120" s="6" t="s">
        <v>855</v>
      </c>
      <c r="I120" s="6" t="s">
        <v>856</v>
      </c>
      <c r="J120" s="6" t="s">
        <v>621</v>
      </c>
      <c r="K120" s="6" t="str">
        <f t="shared" si="3"/>
        <v> 西成区北津守４－１３－４３</v>
      </c>
      <c r="L120" s="6"/>
      <c r="M120" s="6" t="s">
        <v>622</v>
      </c>
      <c r="N120" s="12" t="s">
        <v>31</v>
      </c>
      <c r="O120" s="6" t="s">
        <v>623</v>
      </c>
      <c r="P120" s="6"/>
      <c r="Q120" s="6" t="s">
        <v>853</v>
      </c>
      <c r="R120" s="6" t="s">
        <v>857</v>
      </c>
      <c r="S120" s="6" t="s">
        <v>858</v>
      </c>
      <c r="T120" s="6" t="s">
        <v>859</v>
      </c>
      <c r="U120" s="6"/>
      <c r="V120" s="6"/>
      <c r="W120" s="6"/>
      <c r="X120" s="6"/>
      <c r="Y120" s="6" t="s">
        <v>626</v>
      </c>
    </row>
    <row r="121" ht="33.05" hidden="1" customHeight="1" spans="1:25">
      <c r="A121" s="6" t="s">
        <v>860</v>
      </c>
      <c r="B121" s="7" t="s">
        <v>860</v>
      </c>
      <c r="C121" s="8"/>
      <c r="D121" s="6">
        <v>19</v>
      </c>
      <c r="E121" s="6">
        <v>1</v>
      </c>
      <c r="F121" s="9" t="s">
        <v>861</v>
      </c>
      <c r="G121" s="6" t="str">
        <f t="shared" si="2"/>
        <v>東京都武蔵村山市岸 3-22-10 昭和コーポ武蔵村山1 101号室</v>
      </c>
      <c r="H121" s="6" t="s">
        <v>862</v>
      </c>
      <c r="I121" s="6" t="s">
        <v>863</v>
      </c>
      <c r="J121" s="6" t="s">
        <v>104</v>
      </c>
      <c r="K121" s="6" t="str">
        <f t="shared" si="3"/>
        <v> 神奈川県川崎市高津区下作延２－２２－５クレイノアクアパレス２０５</v>
      </c>
      <c r="L121" s="6"/>
      <c r="M121" s="6" t="s">
        <v>105</v>
      </c>
      <c r="N121" s="12" t="s">
        <v>31</v>
      </c>
      <c r="O121" s="6" t="s">
        <v>864</v>
      </c>
      <c r="P121" s="6"/>
      <c r="Q121" s="6" t="s">
        <v>860</v>
      </c>
      <c r="R121" s="6" t="s">
        <v>33</v>
      </c>
      <c r="S121" s="6" t="s">
        <v>865</v>
      </c>
      <c r="T121" s="6" t="s">
        <v>866</v>
      </c>
      <c r="U121" s="6"/>
      <c r="V121" s="6"/>
      <c r="W121" s="6"/>
      <c r="X121" s="6"/>
      <c r="Y121" s="6" t="s">
        <v>110</v>
      </c>
    </row>
    <row r="122" ht="33.05" hidden="1" customHeight="1" spans="1:25">
      <c r="A122" s="6" t="s">
        <v>867</v>
      </c>
      <c r="B122" s="7" t="s">
        <v>867</v>
      </c>
      <c r="C122" s="8">
        <v>46007</v>
      </c>
      <c r="D122" s="6">
        <v>1</v>
      </c>
      <c r="E122" s="6">
        <v>1</v>
      </c>
      <c r="F122" s="9" t="s">
        <v>868</v>
      </c>
      <c r="G122" s="6" t="str">
        <f t="shared" si="2"/>
        <v>茨城県つくばみらい市紫峰ヶ丘5-14-2</v>
      </c>
      <c r="H122" s="6" t="s">
        <v>869</v>
      </c>
      <c r="I122" s="6" t="s">
        <v>870</v>
      </c>
      <c r="J122" s="6" t="s">
        <v>621</v>
      </c>
      <c r="K122" s="6" t="str">
        <f t="shared" si="3"/>
        <v> 西成区北津守４－１３－４３</v>
      </c>
      <c r="L122" s="6"/>
      <c r="M122" s="6" t="s">
        <v>622</v>
      </c>
      <c r="N122" s="12" t="s">
        <v>31</v>
      </c>
      <c r="O122" s="6" t="s">
        <v>871</v>
      </c>
      <c r="P122" s="6"/>
      <c r="Q122" s="6" t="s">
        <v>867</v>
      </c>
      <c r="R122" s="6" t="s">
        <v>843</v>
      </c>
      <c r="S122" s="6" t="s">
        <v>872</v>
      </c>
      <c r="T122" s="6" t="s">
        <v>873</v>
      </c>
      <c r="U122" s="6"/>
      <c r="V122" s="6"/>
      <c r="W122" s="6"/>
      <c r="X122" s="6"/>
      <c r="Y122" s="6" t="s">
        <v>626</v>
      </c>
    </row>
    <row r="123" ht="33.05" customHeight="1" spans="1:25">
      <c r="A123" s="6" t="s">
        <v>874</v>
      </c>
      <c r="B123" s="7" t="s">
        <v>874</v>
      </c>
      <c r="C123" s="8"/>
      <c r="D123" s="6">
        <v>0</v>
      </c>
      <c r="E123" s="6">
        <v>1</v>
      </c>
      <c r="F123" s="9" t="s">
        <v>875</v>
      </c>
      <c r="G123" s="6" t="str">
        <f t="shared" si="2"/>
        <v>東京都新宿区早稲田鶴巻町112 ReveResidence早稲田203号室</v>
      </c>
      <c r="H123" s="6" t="s">
        <v>876</v>
      </c>
      <c r="I123" s="6" t="s">
        <v>877</v>
      </c>
      <c r="J123" s="6"/>
      <c r="K123" s="6" t="str">
        <f t="shared" si="3"/>
        <v> </v>
      </c>
      <c r="L123" s="6"/>
      <c r="M123" s="6" t="s">
        <v>54</v>
      </c>
      <c r="N123" s="12" t="s">
        <v>31</v>
      </c>
      <c r="O123" s="6" t="s">
        <v>878</v>
      </c>
      <c r="P123" s="6"/>
      <c r="Q123" s="6" t="s">
        <v>874</v>
      </c>
      <c r="R123" s="6"/>
      <c r="S123" s="6"/>
      <c r="T123" s="6" t="s">
        <v>879</v>
      </c>
      <c r="U123" s="6"/>
      <c r="V123" s="6"/>
      <c r="W123" s="6"/>
      <c r="X123" s="6"/>
      <c r="Y123" s="6" t="s">
        <v>54</v>
      </c>
    </row>
    <row r="124" ht="33.05" customHeight="1" spans="1:25">
      <c r="A124" s="6" t="s">
        <v>880</v>
      </c>
      <c r="B124" s="7" t="s">
        <v>880</v>
      </c>
      <c r="C124" s="8"/>
      <c r="D124" s="6">
        <v>0</v>
      </c>
      <c r="E124" s="6">
        <v>1</v>
      </c>
      <c r="F124" s="9" t="s">
        <v>881</v>
      </c>
      <c r="G124" s="6" t="str">
        <f t="shared" si="2"/>
        <v>静岡県静岡市葵区瀬名7-4-11</v>
      </c>
      <c r="H124" s="6" t="s">
        <v>882</v>
      </c>
      <c r="I124" s="6" t="s">
        <v>883</v>
      </c>
      <c r="J124" s="6"/>
      <c r="K124" s="6" t="str">
        <f t="shared" si="3"/>
        <v> </v>
      </c>
      <c r="L124" s="6"/>
      <c r="M124" s="6" t="s">
        <v>54</v>
      </c>
      <c r="N124" s="12" t="s">
        <v>31</v>
      </c>
      <c r="O124" s="6" t="s">
        <v>878</v>
      </c>
      <c r="P124" s="6"/>
      <c r="Q124" s="6" t="s">
        <v>880</v>
      </c>
      <c r="R124" s="6"/>
      <c r="S124" s="6"/>
      <c r="T124" s="6" t="s">
        <v>884</v>
      </c>
      <c r="U124" s="6"/>
      <c r="V124" s="6"/>
      <c r="W124" s="6"/>
      <c r="X124" s="6"/>
      <c r="Y124" s="6" t="s">
        <v>54</v>
      </c>
    </row>
    <row r="125" ht="33.05" customHeight="1" spans="1:25">
      <c r="A125" s="6" t="s">
        <v>885</v>
      </c>
      <c r="B125" s="7">
        <v>365008241780</v>
      </c>
      <c r="C125" s="8"/>
      <c r="D125" s="6">
        <v>0</v>
      </c>
      <c r="E125" s="6">
        <v>1</v>
      </c>
      <c r="F125" s="9" t="s">
        <v>886</v>
      </c>
      <c r="G125" s="6" t="str">
        <f t="shared" si="2"/>
        <v>岩手県宮古市崎鍬ケ崎第４地割１−１３はまなす寮</v>
      </c>
      <c r="H125" s="6" t="s">
        <v>887</v>
      </c>
      <c r="I125" s="6" t="s">
        <v>888</v>
      </c>
      <c r="J125" s="6"/>
      <c r="K125" s="6" t="str">
        <f t="shared" si="3"/>
        <v> </v>
      </c>
      <c r="L125" s="6"/>
      <c r="M125" s="6" t="s">
        <v>54</v>
      </c>
      <c r="N125" s="12" t="s">
        <v>31</v>
      </c>
      <c r="O125" s="6" t="s">
        <v>878</v>
      </c>
      <c r="P125" s="6"/>
      <c r="Q125" s="6" t="s">
        <v>885</v>
      </c>
      <c r="R125" s="6"/>
      <c r="S125" s="6"/>
      <c r="T125" s="6" t="s">
        <v>889</v>
      </c>
      <c r="U125" s="6"/>
      <c r="V125" s="6"/>
      <c r="W125" s="6"/>
      <c r="X125" s="6"/>
      <c r="Y125" s="6" t="s">
        <v>54</v>
      </c>
    </row>
    <row r="126" ht="33.05" customHeight="1" spans="1:25">
      <c r="B126" s="10"/>
      <c r="F126" s="11"/>
    </row>
    <row r="127" ht="33.05" customHeight="1" spans="1:25">
      <c r="B127" s="10"/>
      <c r="F127" s="11"/>
    </row>
    <row r="128" ht="33.05" customHeight="1" spans="1:25">
      <c r="B128" s="10"/>
      <c r="F128" s="11"/>
    </row>
  </sheetData>
  <autoFilter xmlns:etc="http://www.wps.cn/officeDocument/2017/etCustomData" ref="A1:Y125" etc:filterBottomFollowUsedRange="0">
    <filterColumn colId="3">
      <filters>
        <filter val="0"/>
      </filters>
    </filterColumn>
    <extLst/>
  </autoFilter>
  <pageMargins left="0.7" right="0.7" top="0.75" bottom="0.75" header="0.31496062992126" footer="0.31496062992126"/>
  <pageSetup paperSize="8" scale="17" orientation="landscape" useFirstPageNumber="1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Speedy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ZCE</dc:creator>
  <cp:lastModifiedBy>hairyxie</cp:lastModifiedBy>
  <dcterms:created xsi:type="dcterms:W3CDTF">2012-01-20T20:05:00Z</dcterms:created>
  <cp:lastPrinted>2019-01-29T12:39:00Z</cp:lastPrinted>
  <dcterms:modified xsi:type="dcterms:W3CDTF">2025-12-28T00:50:46Z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3BAEB85A959F44E0B0B39076E46FFA0E_13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